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0" documentId="8_{496C9138-2F76-4EDC-803D-BCCAB7D686B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Финансы" sheetId="1" r:id="rId1"/>
    <sheet name="Лист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13" i="1" l="1"/>
  <c r="G3" i="1"/>
  <c r="G2" i="1"/>
  <c r="X7" i="1" a="1"/>
  <c r="X7" i="1"/>
  <c r="X9" i="1" a="1"/>
  <c r="X9" i="1"/>
  <c r="X10" i="1" a="1"/>
  <c r="X10" i="1"/>
  <c r="X11" i="1" a="1"/>
  <c r="X11" i="1"/>
  <c r="X12" i="1" a="1"/>
  <c r="X12" i="1"/>
  <c r="X8" i="1" a="1"/>
  <c r="X8" i="1"/>
  <c r="E9" i="1"/>
  <c r="AD26" i="1"/>
  <c r="AC26" i="1"/>
  <c r="Y26" i="1"/>
  <c r="X26" i="1"/>
  <c r="T26" i="1"/>
  <c r="E10" i="1" s="1"/>
  <c r="S26" i="1"/>
  <c r="D10" i="1" s="1"/>
  <c r="O26" i="1"/>
  <c r="N26" i="1"/>
  <c r="D9" i="1" s="1"/>
  <c r="J26" i="1"/>
  <c r="E8" i="1" s="1"/>
  <c r="I26" i="1"/>
  <c r="D8" i="1" s="1"/>
  <c r="E26" i="1"/>
  <c r="E7" i="1" s="1"/>
  <c r="D26" i="1"/>
  <c r="D7" i="1" s="1"/>
  <c r="D11" i="1" l="1"/>
  <c r="E11" i="1"/>
  <c r="D12" i="1"/>
  <c r="E12" i="1"/>
  <c r="E13" i="1" l="1"/>
  <c r="D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<sst xmlns="http://schemas.openxmlformats.org/spreadsheetml/2006/main" count="77" uniqueCount="40">
  <si>
    <t>Май</t>
  </si>
  <si>
    <t>ОБЗОР</t>
  </si>
  <si>
    <t>РАСХОДЫ БЮДЖЕТ VS ФАКТ</t>
  </si>
  <si>
    <t>ФАКТИЧЕСКИЕ РАСХОДЫ</t>
  </si>
  <si>
    <t>ДОХОДЫ И РАСХОДЫ</t>
  </si>
  <si>
    <t>ОБЗОР МЕСЯЦА</t>
  </si>
  <si>
    <t>Категория</t>
  </si>
  <si>
    <t>₽</t>
  </si>
  <si>
    <t>Бюджет</t>
  </si>
  <si>
    <t>Факт</t>
  </si>
  <si>
    <t>Доход</t>
  </si>
  <si>
    <t>Подписки</t>
  </si>
  <si>
    <t>Регулярные платежи</t>
  </si>
  <si>
    <t>Траты</t>
  </si>
  <si>
    <t>Накопления</t>
  </si>
  <si>
    <t>Долги</t>
  </si>
  <si>
    <t>Осталось</t>
  </si>
  <si>
    <t>Использовано бюджета</t>
  </si>
  <si>
    <t xml:space="preserve">ДОХОДЫ </t>
  </si>
  <si>
    <t>ПОДПИСКИ</t>
  </si>
  <si>
    <t>РЕГУЛЯРНЫЕ ПЛАТЕЖИ</t>
  </si>
  <si>
    <t>ТРАТЫ</t>
  </si>
  <si>
    <t>НАКОПЛЕНИЯ</t>
  </si>
  <si>
    <t>ДОЛГИ</t>
  </si>
  <si>
    <t>Работа</t>
  </si>
  <si>
    <t>Яндекс Музыка</t>
  </si>
  <si>
    <t>Мобильная связь</t>
  </si>
  <si>
    <t>Учебник по арабскому</t>
  </si>
  <si>
    <t>Хадж</t>
  </si>
  <si>
    <t>Шамиль</t>
  </si>
  <si>
    <t>Донат</t>
  </si>
  <si>
    <t>Сбербанк</t>
  </si>
  <si>
    <t>Арабский язык</t>
  </si>
  <si>
    <t>Одежда</t>
  </si>
  <si>
    <t>Права</t>
  </si>
  <si>
    <t>Аванс</t>
  </si>
  <si>
    <t>Квартира</t>
  </si>
  <si>
    <t>Покушать</t>
  </si>
  <si>
    <t>Брекеты</t>
  </si>
  <si>
    <t>Итог (₽)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</si>
</sst>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color rgb="FF000000"/>
      <name val="Aptos"/>
    </font>
    <font>
      <sz val="11"/>
      <color theme="1"/>
      <name val="Aptos"/>
    </font>
    <font>
      <b/>
      <sz val="11"/>
      <color theme="1"/>
      <name val="Aptos"/>
    </font>
    <font>
      <b/>
      <sz val="12"/>
      <color theme="1"/>
      <name val="Aptos"/>
    </font>
    <font>
      <sz val="12"/>
      <color theme="1"/>
      <name val="Aptos"/>
    </font>
    <font>
      <b/>
      <sz val="14"/>
      <color theme="1"/>
      <name val="Aptos"/>
    </font>
    <font>
      <sz val="11"/>
      <color theme="0"/>
      <name val="Aptos"/>
    </font>
  </fonts>
  <fills count="1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AC7ED"/>
        <bgColor indexed="64"/>
      </patternFill>
    </fill>
    <fill>
      <patternFill patternType="solid">
        <fgColor rgb="FFEFE3FA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ACACA"/>
        <bgColor indexed="64"/>
      </patternFill>
    </fill>
    <fill>
      <patternFill patternType="solid">
        <fgColor rgb="FFF0AAA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3" fontId="7" fillId="0" borderId="0" xfId="0" applyNumberFormat="1" applyFont="1"/>
    <xf numFmtId="0" fontId="2" fillId="0" borderId="4" xfId="0" applyFont="1" applyBorder="1" applyAlignment="1">
      <alignment horizontal="left" indent="1"/>
    </xf>
    <xf numFmtId="0" fontId="3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3" fontId="2" fillId="0" borderId="4" xfId="0" applyNumberFormat="1" applyFont="1" applyBorder="1"/>
    <xf numFmtId="3" fontId="2" fillId="0" borderId="5" xfId="0" applyNumberFormat="1" applyFont="1" applyBorder="1"/>
    <xf numFmtId="0" fontId="6" fillId="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wrapText="1" indent="1"/>
    </xf>
    <xf numFmtId="3" fontId="3" fillId="3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 indent="1"/>
    </xf>
    <xf numFmtId="0" fontId="2" fillId="0" borderId="5" xfId="0" applyFont="1" applyBorder="1" applyAlignment="1">
      <alignment horizontal="left" vertical="center" indent="1"/>
    </xf>
    <xf numFmtId="0" fontId="6" fillId="5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3" fillId="6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3" fontId="3" fillId="6" borderId="3" xfId="0" applyNumberFormat="1" applyFont="1" applyFill="1" applyBorder="1" applyAlignment="1">
      <alignment horizontal="center" vertical="center"/>
    </xf>
    <xf numFmtId="3" fontId="3" fillId="6" borderId="2" xfId="0" applyNumberFormat="1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3" fontId="3" fillId="8" borderId="4" xfId="0" applyNumberFormat="1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3" fontId="3" fillId="10" borderId="4" xfId="0" applyNumberFormat="1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 vertical="center" wrapText="1" indent="1"/>
    </xf>
    <xf numFmtId="0" fontId="3" fillId="11" borderId="4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/>
    </xf>
    <xf numFmtId="3" fontId="3" fillId="11" borderId="4" xfId="0" applyNumberFormat="1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vertical="center"/>
    </xf>
    <xf numFmtId="3" fontId="3" fillId="13" borderId="4" xfId="0" applyNumberFormat="1" applyFont="1" applyFill="1" applyBorder="1" applyAlignment="1">
      <alignment horizontal="center" vertical="center"/>
    </xf>
    <xf numFmtId="9" fontId="3" fillId="11" borderId="4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FACACA"/>
      <color rgb="FFF0AAAA"/>
      <color rgb="FFEBA2A2"/>
      <color rgb="FFFF9191"/>
      <color rgb="FFEFE3FA"/>
      <color rgb="FFE6D7F5"/>
      <color rgb="FFF1E8FA"/>
      <color rgb="FFDAC7ED"/>
      <color rgb="FFC7B8D6"/>
      <color rgb="FFB29D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FFE699"/>
            </a:solidFill>
            <a:ln w="25400">
              <a:noFill/>
            </a:ln>
          </c:spPr>
          <c:dPt>
            <c:idx val="0"/>
            <c:bubble3D val="0"/>
            <c:spPr>
              <a:solidFill>
                <a:srgbClr val="8EA9DB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32B-43BF-AE26-DD59A514C69C}"/>
              </c:ext>
            </c:extLst>
          </c:dPt>
          <c:dPt>
            <c:idx val="1"/>
            <c:bubble3D val="0"/>
            <c:spPr>
              <a:solidFill>
                <a:srgbClr val="DAC7ED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32B-43BF-AE26-DD59A514C69C}"/>
              </c:ext>
            </c:extLst>
          </c:dPt>
          <c:dPt>
            <c:idx val="2"/>
            <c:bubble3D val="0"/>
            <c:spPr>
              <a:solidFill>
                <a:srgbClr val="F8CBAD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32B-43BF-AE26-DD59A514C69C}"/>
              </c:ext>
            </c:extLst>
          </c:dPt>
          <c:dPt>
            <c:idx val="3"/>
            <c:bubble3D val="0"/>
            <c:spPr>
              <a:solidFill>
                <a:srgbClr val="FFE699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AB7-45F9-BA26-109AB1555567}"/>
              </c:ext>
            </c:extLst>
          </c:dPt>
          <c:dPt>
            <c:idx val="4"/>
            <c:bubble3D val="0"/>
            <c:spPr>
              <a:solidFill>
                <a:srgbClr val="FFE699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AB7-45F9-BA26-109AB1555567}"/>
              </c:ext>
            </c:extLst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Финансы!$B$8:$B$12</c:f>
              <c:strCache>
                <c:ptCount val="5"/>
                <c:pt idx="0">
                  <c:v>Подписки</c:v>
                </c:pt>
                <c:pt idx="1">
                  <c:v>Регулярные платежи</c:v>
                </c:pt>
                <c:pt idx="2">
                  <c:v>Траты</c:v>
                </c:pt>
                <c:pt idx="3">
                  <c:v>Накопления</c:v>
                </c:pt>
                <c:pt idx="4">
                  <c:v>Долги</c:v>
                </c:pt>
              </c:strCache>
            </c:strRef>
          </c:cat>
          <c:val>
            <c:numRef>
              <c:f>Финансы!$E$8:$E$12</c:f>
              <c:numCache>
                <c:formatCode>#,##0</c:formatCode>
                <c:ptCount val="5"/>
                <c:pt idx="0">
                  <c:v>499</c:v>
                </c:pt>
                <c:pt idx="1">
                  <c:v>52750</c:v>
                </c:pt>
                <c:pt idx="2">
                  <c:v>17800</c:v>
                </c:pt>
                <c:pt idx="3">
                  <c:v>5000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2B-43BF-AE26-DD59A514C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Бюджет</c:v>
          </c:tx>
          <c:spPr>
            <a:solidFill>
              <a:srgbClr val="F8CBAD"/>
            </a:solidFill>
            <a:ln w="12700"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Финансы!B8:B12</c:f>
              <c:strCache>
                <c:ptCount val="5"/>
                <c:pt idx="0">
                  <c:v>Подписки</c:v>
                </c:pt>
                <c:pt idx="1">
                  <c:v>Регулярные платежи</c:v>
                </c:pt>
                <c:pt idx="2">
                  <c:v>Траты</c:v>
                </c:pt>
                <c:pt idx="3">
                  <c:v>Накопления</c:v>
                </c:pt>
                <c:pt idx="4">
                  <c:v>Долги</c:v>
                </c:pt>
              </c:strCache>
            </c:strRef>
          </c:cat>
          <c:val>
            <c:numRef>
              <c:f>Финансы!$D$8:$D$12</c:f>
              <c:numCache>
                <c:formatCode>#,##0</c:formatCode>
                <c:ptCount val="5"/>
                <c:pt idx="0">
                  <c:v>589</c:v>
                </c:pt>
                <c:pt idx="1">
                  <c:v>37100</c:v>
                </c:pt>
                <c:pt idx="2">
                  <c:v>14500</c:v>
                </c:pt>
                <c:pt idx="3">
                  <c:v>25000</c:v>
                </c:pt>
                <c:pt idx="4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E6-4E7C-AF30-C3D844A572A8}"/>
            </c:ext>
          </c:extLst>
        </c:ser>
        <c:ser>
          <c:idx val="1"/>
          <c:order val="1"/>
          <c:tx>
            <c:v>Факт</c:v>
          </c:tx>
          <c:spPr>
            <a:solidFill>
              <a:srgbClr val="B4C6E7"/>
            </a:solidFill>
            <a:ln w="12700"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Финансы!B8:B12</c:f>
              <c:strCache>
                <c:ptCount val="5"/>
                <c:pt idx="0">
                  <c:v>Подписки</c:v>
                </c:pt>
                <c:pt idx="1">
                  <c:v>Регулярные платежи</c:v>
                </c:pt>
                <c:pt idx="2">
                  <c:v>Траты</c:v>
                </c:pt>
                <c:pt idx="3">
                  <c:v>Накопления</c:v>
                </c:pt>
                <c:pt idx="4">
                  <c:v>Долги</c:v>
                </c:pt>
              </c:strCache>
            </c:strRef>
          </c:cat>
          <c:val>
            <c:numRef>
              <c:f>Финансы!$E$8:$E$12</c:f>
              <c:numCache>
                <c:formatCode>#,##0</c:formatCode>
                <c:ptCount val="5"/>
                <c:pt idx="0">
                  <c:v>499</c:v>
                </c:pt>
                <c:pt idx="1">
                  <c:v>52750</c:v>
                </c:pt>
                <c:pt idx="2">
                  <c:v>17800</c:v>
                </c:pt>
                <c:pt idx="3">
                  <c:v>5000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E6-4E7C-AF30-C3D844A57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8"/>
        <c:axId val="1564997127"/>
        <c:axId val="1651769351"/>
      </c:barChart>
      <c:catAx>
        <c:axId val="156499712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161616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769351"/>
        <c:crosses val="autoZero"/>
        <c:auto val="1"/>
        <c:lblAlgn val="ctr"/>
        <c:lblOffset val="100"/>
        <c:noMultiLvlLbl val="0"/>
      </c:catAx>
      <c:valAx>
        <c:axId val="165176935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997127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1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Доходы факт.</c:v>
          </c:tx>
          <c:spPr>
            <a:solidFill>
              <a:srgbClr val="9BC2E6"/>
            </a:solidFill>
            <a:ln>
              <a:noFill/>
            </a:ln>
            <a:effectLst/>
          </c:spPr>
          <c:invertIfNegative val="0"/>
          <c:val>
            <c:numRef>
              <c:f>Финансы!$E$7</c:f>
              <c:numCache>
                <c:formatCode>#,##0</c:formatCode>
                <c:ptCount val="1"/>
                <c:pt idx="0">
                  <c:v>77300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EE-406D-829B-71C19B61E060}"/>
            </c:ext>
          </c:extLst>
        </c:ser>
        <c:ser>
          <c:idx val="1"/>
          <c:order val="1"/>
          <c:tx>
            <c:v>Траты факт.</c:v>
          </c:tx>
          <c:spPr>
            <a:solidFill>
              <a:srgbClr val="F4B084"/>
            </a:solidFill>
            <a:ln>
              <a:noFill/>
            </a:ln>
            <a:effectLst/>
          </c:spPr>
          <c:invertIfNegative val="0"/>
          <c:val>
            <c:numRef>
              <c:f>Финансы!G2</c:f>
              <c:numCache>
                <c:formatCode>#,##0</c:formatCode>
                <c:ptCount val="1"/>
                <c:pt idx="0">
                  <c:v>76049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EE-406D-829B-71C19B61E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5"/>
        <c:overlap val="-27"/>
        <c:axId val="1655979015"/>
        <c:axId val="1655993351"/>
      </c:barChart>
      <c:catAx>
        <c:axId val="1655979015"/>
        <c:scaling>
          <c:orientation val="minMax"/>
        </c:scaling>
        <c:delete val="1"/>
        <c:axPos val="b"/>
        <c:majorTickMark val="none"/>
        <c:minorTickMark val="none"/>
        <c:tickLblPos val="low"/>
        <c:crossAx val="1655993351"/>
        <c:crosses val="autoZero"/>
        <c:auto val="1"/>
        <c:lblAlgn val="ctr"/>
        <c:lblOffset val="100"/>
        <c:noMultiLvlLbl val="0"/>
      </c:catAx>
      <c:valAx>
        <c:axId val="1655993351"/>
        <c:scaling>
          <c:orientation val="minMax"/>
          <c:max val="1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979015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5</xdr:row>
      <xdr:rowOff>19050</xdr:rowOff>
    </xdr:from>
    <xdr:to>
      <xdr:col>14</xdr:col>
      <xdr:colOff>752475</xdr:colOff>
      <xdr:row>12</xdr:row>
      <xdr:rowOff>390525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B4165D3-7A57-3AF1-0A1B-8058156EB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5</xdr:row>
      <xdr:rowOff>9525</xdr:rowOff>
    </xdr:from>
    <xdr:to>
      <xdr:col>9</xdr:col>
      <xdr:colOff>819150</xdr:colOff>
      <xdr:row>12</xdr:row>
      <xdr:rowOff>400050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A1F2FA49-6599-E3DA-D90C-EBE12695087E}"/>
            </a:ext>
            <a:ext uri="{147F2762-F138-4A5C-976F-8EAC2B608ADB}">
              <a16:predDERef xmlns:a16="http://schemas.microsoft.com/office/drawing/2014/main" pred="{0B4165D3-7A57-3AF1-0A1B-8058156EB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28575</xdr:colOff>
      <xdr:row>5</xdr:row>
      <xdr:rowOff>9525</xdr:rowOff>
    </xdr:from>
    <xdr:to>
      <xdr:col>19</xdr:col>
      <xdr:colOff>781050</xdr:colOff>
      <xdr:row>12</xdr:row>
      <xdr:rowOff>400050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A771103B-DA5B-807D-5A61-BDCE2C70533E}"/>
            </a:ext>
            <a:ext uri="{147F2762-F138-4A5C-976F-8EAC2B608ADB}">
              <a16:predDERef xmlns:a16="http://schemas.microsoft.com/office/drawing/2014/main" pred="{A1F2FA49-6599-E3DA-D90C-EBE126950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D26"/>
  <sheetViews>
    <sheetView showGridLines="0" workbookViewId="0">
      <selection activeCell="B30" sqref="B30:D36"/>
    </sheetView>
  </sheetViews>
  <sheetFormatPr defaultRowHeight="15"/>
  <cols>
    <col min="1" max="1" width="2.7109375" style="1" customWidth="1"/>
    <col min="2" max="2" width="23.28515625" style="1" customWidth="1"/>
    <col min="3" max="3" width="3.42578125" style="1" customWidth="1"/>
    <col min="4" max="4" width="11.5703125" style="1" customWidth="1"/>
    <col min="5" max="5" width="12.42578125" style="1" customWidth="1"/>
    <col min="6" max="6" width="3.42578125" style="1" customWidth="1"/>
    <col min="7" max="7" width="17" style="1" customWidth="1"/>
    <col min="8" max="8" width="9.28515625" style="1" customWidth="1"/>
    <col min="9" max="9" width="12.28515625" style="1" customWidth="1"/>
    <col min="10" max="10" width="12.42578125" style="1" customWidth="1"/>
    <col min="11" max="11" width="3.140625" style="1" customWidth="1"/>
    <col min="12" max="12" width="17.85546875" style="1" customWidth="1"/>
    <col min="13" max="13" width="9.140625" style="1"/>
    <col min="14" max="14" width="12.140625" style="1" customWidth="1"/>
    <col min="15" max="15" width="11.5703125" style="1" customWidth="1"/>
    <col min="16" max="16" width="3" style="1" customWidth="1"/>
    <col min="17" max="17" width="16.5703125" style="1" customWidth="1"/>
    <col min="18" max="18" width="9.140625" style="1"/>
    <col min="19" max="19" width="12.140625" style="1" customWidth="1"/>
    <col min="20" max="20" width="12" style="1" customWidth="1"/>
    <col min="21" max="21" width="3.28515625" style="1" customWidth="1"/>
    <col min="22" max="22" width="16.140625" style="1" customWidth="1"/>
    <col min="23" max="23" width="9.140625" style="1"/>
    <col min="24" max="24" width="11.5703125" style="1" customWidth="1"/>
    <col min="25" max="25" width="12" style="1" customWidth="1"/>
    <col min="26" max="26" width="3.140625" style="1" customWidth="1"/>
    <col min="27" max="27" width="16.42578125" style="1" customWidth="1"/>
    <col min="28" max="28" width="9.140625" style="1"/>
    <col min="29" max="29" width="11.42578125" style="1" customWidth="1"/>
    <col min="30" max="30" width="12.5703125" style="1" customWidth="1"/>
    <col min="31" max="16384" width="9.140625" style="1"/>
  </cols>
  <sheetData>
    <row r="2" spans="2:30">
      <c r="B2" s="12" t="s">
        <v>0</v>
      </c>
      <c r="C2" s="12"/>
      <c r="D2" s="12"/>
      <c r="E2" s="12"/>
      <c r="G2" s="2">
        <f>SUM(E8:E12)</f>
        <v>76049</v>
      </c>
    </row>
    <row r="3" spans="2:30">
      <c r="B3" s="12"/>
      <c r="C3" s="12"/>
      <c r="D3" s="12"/>
      <c r="E3" s="12"/>
      <c r="G3" s="2">
        <f>SUM(D8:D12)</f>
        <v>78689</v>
      </c>
    </row>
    <row r="5" spans="2:30" ht="31.5" customHeight="1">
      <c r="B5" s="9" t="s">
        <v>1</v>
      </c>
      <c r="C5" s="9"/>
      <c r="D5" s="9"/>
      <c r="E5" s="9"/>
      <c r="G5" s="16" t="s">
        <v>2</v>
      </c>
      <c r="H5" s="16"/>
      <c r="I5" s="16"/>
      <c r="J5" s="16"/>
      <c r="L5" s="24" t="s">
        <v>3</v>
      </c>
      <c r="M5" s="24"/>
      <c r="N5" s="24"/>
      <c r="O5" s="24"/>
      <c r="Q5" s="28" t="s">
        <v>4</v>
      </c>
      <c r="R5" s="28"/>
      <c r="S5" s="28"/>
      <c r="T5" s="28"/>
      <c r="V5" s="32" t="s">
        <v>5</v>
      </c>
      <c r="W5" s="32"/>
      <c r="X5" s="32"/>
      <c r="Y5" s="32"/>
    </row>
    <row r="6" spans="2:30" ht="15.75">
      <c r="B6" s="4" t="s">
        <v>6</v>
      </c>
      <c r="C6" s="5" t="s">
        <v>7</v>
      </c>
      <c r="D6" s="4" t="s">
        <v>8</v>
      </c>
      <c r="E6" s="4" t="s">
        <v>9</v>
      </c>
      <c r="G6" s="17"/>
      <c r="H6" s="17"/>
      <c r="I6" s="17"/>
      <c r="J6" s="17"/>
      <c r="L6" s="17"/>
      <c r="M6" s="17"/>
      <c r="N6" s="17"/>
      <c r="O6" s="17"/>
      <c r="Q6" s="17"/>
      <c r="R6" s="17"/>
      <c r="S6" s="17"/>
      <c r="T6" s="17"/>
      <c r="V6" s="33" t="s">
        <v>6</v>
      </c>
      <c r="W6" s="33"/>
      <c r="X6" s="33"/>
      <c r="Y6" s="33"/>
    </row>
    <row r="7" spans="2:30" ht="15.75">
      <c r="B7" s="3" t="s">
        <v>10</v>
      </c>
      <c r="C7" s="6" t="s">
        <v>7</v>
      </c>
      <c r="D7" s="7">
        <f>D26</f>
        <v>87000</v>
      </c>
      <c r="E7" s="7">
        <f>E26</f>
        <v>77300</v>
      </c>
      <c r="G7" s="17"/>
      <c r="H7" s="17"/>
      <c r="I7" s="17"/>
      <c r="J7" s="17"/>
      <c r="L7" s="17"/>
      <c r="M7" s="17"/>
      <c r="N7" s="17"/>
      <c r="O7" s="17"/>
      <c r="Q7" s="17"/>
      <c r="R7" s="17"/>
      <c r="S7" s="17"/>
      <c r="T7" s="17"/>
      <c r="V7" s="14" t="s">
        <v>10</v>
      </c>
      <c r="W7" s="14"/>
      <c r="X7" s="34" t="str" cm="1">
        <f t="array" ref="X7">_xlfn.IFS(E7&lt;D7, "🔼 Ниже бюджета", E7&gt;D7, "🔽 Выше бюджета", E7=D7, "✅ В бюджете")</f>
        <v>🔼 Ниже бюджета</v>
      </c>
      <c r="Y7" s="34"/>
    </row>
    <row r="8" spans="2:30" ht="15.75">
      <c r="B8" s="3" t="s">
        <v>11</v>
      </c>
      <c r="C8" s="6" t="s">
        <v>7</v>
      </c>
      <c r="D8" s="7">
        <f>I26</f>
        <v>589</v>
      </c>
      <c r="E8" s="7">
        <f>J26</f>
        <v>499</v>
      </c>
      <c r="G8" s="17"/>
      <c r="H8" s="17"/>
      <c r="I8" s="17"/>
      <c r="J8" s="17"/>
      <c r="L8" s="17"/>
      <c r="M8" s="17"/>
      <c r="N8" s="17"/>
      <c r="O8" s="17"/>
      <c r="Q8" s="17"/>
      <c r="R8" s="17"/>
      <c r="S8" s="17"/>
      <c r="T8" s="17"/>
      <c r="V8" s="14" t="s">
        <v>11</v>
      </c>
      <c r="W8" s="14"/>
      <c r="X8" s="34" t="str" cm="1">
        <f t="array" ref="X8">_xlfn.IFS(E8&lt;D8, "✅ В бюджете", E8&gt;D8, "🔽 Выше бюджета", E8=D8, "✅ В бюджете")</f>
        <v>✅ В бюджете</v>
      </c>
      <c r="Y8" s="34"/>
    </row>
    <row r="9" spans="2:30" ht="15.75">
      <c r="B9" s="10" t="s">
        <v>12</v>
      </c>
      <c r="C9" s="6" t="s">
        <v>7</v>
      </c>
      <c r="D9" s="7">
        <f>N26</f>
        <v>37100</v>
      </c>
      <c r="E9" s="7">
        <f>O26</f>
        <v>52750</v>
      </c>
      <c r="G9" s="17"/>
      <c r="H9" s="17"/>
      <c r="I9" s="17"/>
      <c r="J9" s="17"/>
      <c r="L9" s="17"/>
      <c r="M9" s="17"/>
      <c r="N9" s="17"/>
      <c r="O9" s="17"/>
      <c r="Q9" s="17"/>
      <c r="R9" s="17"/>
      <c r="S9" s="17"/>
      <c r="T9" s="17"/>
      <c r="V9" s="35" t="s">
        <v>12</v>
      </c>
      <c r="W9" s="35"/>
      <c r="X9" s="34" t="str" cm="1">
        <f t="array" ref="X9">_xlfn.IFS(E9&lt;D9, "✅ В бюджете", E9&gt;D9, "🔽 Выше бюджета", E9=D9, "✅ В бюджете")</f>
        <v>🔽 Выше бюджета</v>
      </c>
      <c r="Y9" s="34"/>
    </row>
    <row r="10" spans="2:30" ht="15.75">
      <c r="B10" s="3" t="s">
        <v>13</v>
      </c>
      <c r="C10" s="6" t="s">
        <v>7</v>
      </c>
      <c r="D10" s="7">
        <f>S26</f>
        <v>14500</v>
      </c>
      <c r="E10" s="7">
        <f>T26</f>
        <v>17800</v>
      </c>
      <c r="G10" s="17"/>
      <c r="H10" s="17"/>
      <c r="I10" s="17"/>
      <c r="J10" s="17"/>
      <c r="L10" s="17"/>
      <c r="M10" s="17"/>
      <c r="N10" s="17"/>
      <c r="O10" s="17"/>
      <c r="Q10" s="17"/>
      <c r="R10" s="17"/>
      <c r="S10" s="17"/>
      <c r="T10" s="17"/>
      <c r="V10" s="14" t="s">
        <v>13</v>
      </c>
      <c r="W10" s="14"/>
      <c r="X10" s="34" t="str" cm="1">
        <f t="array" ref="X10">_xlfn.IFS(E10&lt;D10, "✅ В бюджете", E10&gt;D10, "🔽 Выше бюджета", E10=D10, "✅ В бюджете")</f>
        <v>🔽 Выше бюджета</v>
      </c>
      <c r="Y10" s="34"/>
    </row>
    <row r="11" spans="2:30" ht="15.75">
      <c r="B11" s="3" t="s">
        <v>14</v>
      </c>
      <c r="C11" s="6" t="s">
        <v>7</v>
      </c>
      <c r="D11" s="7">
        <f>X26</f>
        <v>25000</v>
      </c>
      <c r="E11" s="7">
        <f>Y26</f>
        <v>5000</v>
      </c>
      <c r="G11" s="17"/>
      <c r="H11" s="17"/>
      <c r="I11" s="17"/>
      <c r="J11" s="17"/>
      <c r="L11" s="17"/>
      <c r="M11" s="17"/>
      <c r="N11" s="17"/>
      <c r="O11" s="17"/>
      <c r="Q11" s="17"/>
      <c r="R11" s="17"/>
      <c r="S11" s="17"/>
      <c r="T11" s="17"/>
      <c r="V11" s="14" t="s">
        <v>14</v>
      </c>
      <c r="W11" s="14"/>
      <c r="X11" s="34" t="str" cm="1">
        <f t="array" ref="X11">_xlfn.IFS(E11&lt;D11, "✅ В бюджете", E11&gt;D11, "🔽 Выше бюджета", E11=D11, "✅ В бюджете")</f>
        <v>✅ В бюджете</v>
      </c>
      <c r="Y11" s="34"/>
    </row>
    <row r="12" spans="2:30" ht="15.75">
      <c r="B12" s="3" t="s">
        <v>15</v>
      </c>
      <c r="C12" s="6" t="s">
        <v>7</v>
      </c>
      <c r="D12" s="7">
        <f>AC26</f>
        <v>1500</v>
      </c>
      <c r="E12" s="7">
        <f>AD26</f>
        <v>0</v>
      </c>
      <c r="G12" s="17"/>
      <c r="H12" s="17"/>
      <c r="I12" s="17"/>
      <c r="J12" s="17"/>
      <c r="L12" s="17"/>
      <c r="M12" s="17"/>
      <c r="N12" s="17"/>
      <c r="O12" s="17"/>
      <c r="Q12" s="17"/>
      <c r="R12" s="17"/>
      <c r="S12" s="17"/>
      <c r="T12" s="17"/>
      <c r="V12" s="14" t="s">
        <v>15</v>
      </c>
      <c r="W12" s="14"/>
      <c r="X12" s="34" t="str" cm="1">
        <f t="array" ref="X12">_xlfn.IFS(E12&lt;D12, "✅ В бюджете", E12&gt;D12, "🔽 Выше бюджета", E12=D12, "✅ В бюджете")</f>
        <v>✅ В бюджете</v>
      </c>
      <c r="Y12" s="34"/>
    </row>
    <row r="13" spans="2:30" ht="32.25" customHeight="1">
      <c r="B13" s="4" t="s">
        <v>16</v>
      </c>
      <c r="C13" s="5" t="s">
        <v>7</v>
      </c>
      <c r="D13" s="11">
        <f>D7-(SUM(D8:D12))</f>
        <v>8311</v>
      </c>
      <c r="E13" s="11">
        <f>E7-(SUM(E8:E12))</f>
        <v>1251</v>
      </c>
      <c r="G13" s="17"/>
      <c r="H13" s="17"/>
      <c r="I13" s="17"/>
      <c r="J13" s="17"/>
      <c r="L13" s="17"/>
      <c r="M13" s="17"/>
      <c r="N13" s="17"/>
      <c r="O13" s="17"/>
      <c r="Q13" s="17"/>
      <c r="R13" s="17"/>
      <c r="S13" s="17"/>
      <c r="T13" s="17"/>
      <c r="V13" s="36" t="s">
        <v>17</v>
      </c>
      <c r="W13" s="36"/>
      <c r="X13" s="43">
        <f>G2/G3</f>
        <v>0.96645020269669202</v>
      </c>
      <c r="Y13" s="43"/>
    </row>
    <row r="15" spans="2:30" ht="32.25" customHeight="1">
      <c r="B15" s="9" t="s">
        <v>18</v>
      </c>
      <c r="C15" s="9"/>
      <c r="D15" s="9"/>
      <c r="E15" s="9"/>
      <c r="G15" s="16" t="s">
        <v>19</v>
      </c>
      <c r="H15" s="16"/>
      <c r="I15" s="16"/>
      <c r="J15" s="16"/>
      <c r="L15" s="24" t="s">
        <v>20</v>
      </c>
      <c r="M15" s="24"/>
      <c r="N15" s="24"/>
      <c r="O15" s="24"/>
      <c r="Q15" s="28" t="s">
        <v>21</v>
      </c>
      <c r="R15" s="28"/>
      <c r="S15" s="28"/>
      <c r="T15" s="28"/>
      <c r="V15" s="32" t="s">
        <v>22</v>
      </c>
      <c r="W15" s="32"/>
      <c r="X15" s="32"/>
      <c r="Y15" s="32"/>
      <c r="AA15" s="39" t="s">
        <v>23</v>
      </c>
      <c r="AB15" s="39"/>
      <c r="AC15" s="39"/>
      <c r="AD15" s="39"/>
    </row>
    <row r="16" spans="2:30" ht="15.75" customHeight="1">
      <c r="B16" s="13" t="s">
        <v>6</v>
      </c>
      <c r="C16" s="13"/>
      <c r="D16" s="4" t="s">
        <v>8</v>
      </c>
      <c r="E16" s="4" t="s">
        <v>9</v>
      </c>
      <c r="G16" s="18" t="s">
        <v>6</v>
      </c>
      <c r="H16" s="18"/>
      <c r="I16" s="19" t="s">
        <v>8</v>
      </c>
      <c r="J16" s="19" t="s">
        <v>9</v>
      </c>
      <c r="L16" s="25" t="s">
        <v>6</v>
      </c>
      <c r="M16" s="25"/>
      <c r="N16" s="26" t="s">
        <v>8</v>
      </c>
      <c r="O16" s="26" t="s">
        <v>9</v>
      </c>
      <c r="Q16" s="29" t="s">
        <v>6</v>
      </c>
      <c r="R16" s="29"/>
      <c r="S16" s="30" t="s">
        <v>8</v>
      </c>
      <c r="T16" s="30" t="s">
        <v>9</v>
      </c>
      <c r="V16" s="33" t="s">
        <v>6</v>
      </c>
      <c r="W16" s="33"/>
      <c r="X16" s="37" t="s">
        <v>8</v>
      </c>
      <c r="Y16" s="37" t="s">
        <v>9</v>
      </c>
      <c r="AA16" s="40" t="s">
        <v>6</v>
      </c>
      <c r="AB16" s="40"/>
      <c r="AC16" s="41" t="s">
        <v>8</v>
      </c>
      <c r="AD16" s="41" t="s">
        <v>9</v>
      </c>
    </row>
    <row r="17" spans="2:30">
      <c r="B17" s="14" t="s">
        <v>24</v>
      </c>
      <c r="C17" s="14"/>
      <c r="D17" s="7">
        <v>70000</v>
      </c>
      <c r="E17" s="7">
        <v>60000</v>
      </c>
      <c r="G17" s="14" t="s">
        <v>25</v>
      </c>
      <c r="H17" s="14"/>
      <c r="I17" s="7">
        <v>499</v>
      </c>
      <c r="J17" s="7">
        <v>499</v>
      </c>
      <c r="L17" s="14" t="s">
        <v>26</v>
      </c>
      <c r="M17" s="14"/>
      <c r="N17" s="7">
        <v>400</v>
      </c>
      <c r="O17" s="7">
        <v>550</v>
      </c>
      <c r="Q17" s="14" t="s">
        <v>27</v>
      </c>
      <c r="R17" s="14"/>
      <c r="S17" s="7">
        <v>1500</v>
      </c>
      <c r="T17" s="7">
        <v>1300</v>
      </c>
      <c r="V17" s="14" t="s">
        <v>28</v>
      </c>
      <c r="W17" s="14"/>
      <c r="X17" s="7">
        <v>5000</v>
      </c>
      <c r="Y17" s="7">
        <v>5000</v>
      </c>
      <c r="AA17" s="14" t="s">
        <v>29</v>
      </c>
      <c r="AB17" s="14"/>
      <c r="AC17" s="7">
        <v>1500</v>
      </c>
      <c r="AD17" s="7"/>
    </row>
    <row r="18" spans="2:30">
      <c r="B18" s="14" t="s">
        <v>30</v>
      </c>
      <c r="C18" s="14"/>
      <c r="D18" s="7"/>
      <c r="E18" s="7">
        <v>5000</v>
      </c>
      <c r="G18" s="14" t="s">
        <v>31</v>
      </c>
      <c r="H18" s="14"/>
      <c r="I18" s="7">
        <v>90</v>
      </c>
      <c r="J18" s="7"/>
      <c r="L18" s="14" t="s">
        <v>32</v>
      </c>
      <c r="M18" s="14"/>
      <c r="N18" s="7">
        <v>2700</v>
      </c>
      <c r="O18" s="7">
        <v>2700</v>
      </c>
      <c r="Q18" s="14" t="s">
        <v>33</v>
      </c>
      <c r="R18" s="14"/>
      <c r="S18" s="7">
        <v>10000</v>
      </c>
      <c r="T18" s="7">
        <v>12000</v>
      </c>
      <c r="V18" s="14" t="s">
        <v>34</v>
      </c>
      <c r="W18" s="14"/>
      <c r="X18" s="7">
        <v>20000</v>
      </c>
      <c r="Y18" s="7"/>
      <c r="AA18" s="14"/>
      <c r="AB18" s="14"/>
      <c r="AC18" s="7"/>
      <c r="AD18" s="7"/>
    </row>
    <row r="19" spans="2:30">
      <c r="B19" s="14" t="s">
        <v>35</v>
      </c>
      <c r="C19" s="14"/>
      <c r="D19" s="7">
        <v>17000</v>
      </c>
      <c r="E19" s="7">
        <v>12300</v>
      </c>
      <c r="G19" s="14"/>
      <c r="H19" s="14"/>
      <c r="I19" s="7"/>
      <c r="J19" s="7"/>
      <c r="L19" s="14" t="s">
        <v>36</v>
      </c>
      <c r="M19" s="14"/>
      <c r="N19" s="7">
        <v>20000</v>
      </c>
      <c r="O19" s="7">
        <v>30000</v>
      </c>
      <c r="Q19" s="14" t="s">
        <v>37</v>
      </c>
      <c r="R19" s="14"/>
      <c r="S19" s="7">
        <v>3000</v>
      </c>
      <c r="T19" s="7">
        <v>4500</v>
      </c>
      <c r="V19" s="14"/>
      <c r="W19" s="14"/>
      <c r="X19" s="7"/>
      <c r="Y19" s="7"/>
      <c r="AA19" s="14"/>
      <c r="AB19" s="14"/>
      <c r="AC19" s="7"/>
      <c r="AD19" s="7"/>
    </row>
    <row r="20" spans="2:30">
      <c r="B20" s="14"/>
      <c r="C20" s="14"/>
      <c r="D20" s="7"/>
      <c r="E20" s="7"/>
      <c r="G20" s="14"/>
      <c r="H20" s="14"/>
      <c r="I20" s="7"/>
      <c r="J20" s="7"/>
      <c r="L20" s="14" t="s">
        <v>38</v>
      </c>
      <c r="M20" s="14"/>
      <c r="N20" s="7">
        <v>14000</v>
      </c>
      <c r="O20" s="7">
        <v>19500</v>
      </c>
      <c r="Q20" s="14"/>
      <c r="R20" s="14"/>
      <c r="S20" s="7"/>
      <c r="T20" s="7"/>
      <c r="V20" s="14"/>
      <c r="W20" s="14"/>
      <c r="X20" s="7"/>
      <c r="Y20" s="7"/>
      <c r="AA20" s="14"/>
      <c r="AB20" s="14"/>
      <c r="AC20" s="7"/>
      <c r="AD20" s="7"/>
    </row>
    <row r="21" spans="2:30">
      <c r="B21" s="14"/>
      <c r="C21" s="14"/>
      <c r="D21" s="7"/>
      <c r="E21" s="7"/>
      <c r="G21" s="14"/>
      <c r="H21" s="14"/>
      <c r="I21" s="7"/>
      <c r="J21" s="7"/>
      <c r="L21" s="14"/>
      <c r="M21" s="14"/>
      <c r="N21" s="7"/>
      <c r="O21" s="7"/>
      <c r="Q21" s="14"/>
      <c r="R21" s="14"/>
      <c r="S21" s="7"/>
      <c r="T21" s="7"/>
      <c r="V21" s="14"/>
      <c r="W21" s="14"/>
      <c r="X21" s="7"/>
      <c r="Y21" s="7"/>
      <c r="AA21" s="14"/>
      <c r="AB21" s="14"/>
      <c r="AC21" s="7"/>
      <c r="AD21" s="7"/>
    </row>
    <row r="22" spans="2:30">
      <c r="B22" s="14"/>
      <c r="C22" s="14"/>
      <c r="D22" s="7"/>
      <c r="E22" s="7"/>
      <c r="G22" s="14"/>
      <c r="H22" s="14"/>
      <c r="I22" s="7"/>
      <c r="J22" s="7"/>
      <c r="L22" s="14"/>
      <c r="M22" s="14"/>
      <c r="N22" s="7"/>
      <c r="O22" s="7"/>
      <c r="Q22" s="14"/>
      <c r="R22" s="14"/>
      <c r="S22" s="7"/>
      <c r="T22" s="7"/>
      <c r="V22" s="14"/>
      <c r="W22" s="14"/>
      <c r="X22" s="7"/>
      <c r="Y22" s="7"/>
      <c r="AA22" s="14"/>
      <c r="AB22" s="14"/>
      <c r="AC22" s="7"/>
      <c r="AD22" s="7"/>
    </row>
    <row r="23" spans="2:30">
      <c r="B23" s="14"/>
      <c r="C23" s="14"/>
      <c r="D23" s="7"/>
      <c r="E23" s="7"/>
      <c r="G23" s="14"/>
      <c r="H23" s="14"/>
      <c r="I23" s="7"/>
      <c r="J23" s="7"/>
      <c r="L23" s="14"/>
      <c r="M23" s="14"/>
      <c r="N23" s="7"/>
      <c r="O23" s="7"/>
      <c r="Q23" s="14"/>
      <c r="R23" s="14"/>
      <c r="S23" s="7"/>
      <c r="T23" s="7"/>
      <c r="V23" s="14"/>
      <c r="W23" s="14"/>
      <c r="X23" s="7"/>
      <c r="Y23" s="7"/>
      <c r="AA23" s="14"/>
      <c r="AB23" s="14"/>
      <c r="AC23" s="7"/>
      <c r="AD23" s="7"/>
    </row>
    <row r="24" spans="2:30">
      <c r="B24" s="15"/>
      <c r="C24" s="15"/>
      <c r="D24" s="8"/>
      <c r="E24" s="8"/>
      <c r="G24" s="14"/>
      <c r="H24" s="14"/>
      <c r="I24" s="7"/>
      <c r="J24" s="7"/>
      <c r="L24" s="14"/>
      <c r="M24" s="14"/>
      <c r="N24" s="7"/>
      <c r="O24" s="7"/>
      <c r="Q24" s="14"/>
      <c r="R24" s="14"/>
      <c r="S24" s="7"/>
      <c r="T24" s="7"/>
      <c r="V24" s="14"/>
      <c r="W24" s="14"/>
      <c r="X24" s="7"/>
      <c r="Y24" s="7"/>
      <c r="AA24" s="14"/>
      <c r="AB24" s="14"/>
      <c r="AC24" s="7"/>
      <c r="AD24" s="7"/>
    </row>
    <row r="25" spans="2:30">
      <c r="B25" s="14"/>
      <c r="C25" s="14"/>
      <c r="D25" s="7"/>
      <c r="E25" s="7"/>
      <c r="G25" s="14"/>
      <c r="H25" s="14"/>
      <c r="I25" s="7"/>
      <c r="J25" s="7"/>
      <c r="L25" s="14"/>
      <c r="M25" s="14"/>
      <c r="N25" s="7"/>
      <c r="O25" s="7"/>
      <c r="Q25" s="14"/>
      <c r="R25" s="14"/>
      <c r="S25" s="7"/>
      <c r="T25" s="7"/>
      <c r="V25" s="14"/>
      <c r="W25" s="14"/>
      <c r="X25" s="7"/>
      <c r="Y25" s="7"/>
      <c r="AA25" s="14"/>
      <c r="AB25" s="14"/>
      <c r="AC25" s="7"/>
      <c r="AD25" s="7"/>
    </row>
    <row r="26" spans="2:30">
      <c r="B26" s="13" t="s">
        <v>39</v>
      </c>
      <c r="C26" s="13"/>
      <c r="D26" s="11">
        <f>SUM(D17:D25)</f>
        <v>87000</v>
      </c>
      <c r="E26" s="11">
        <f>SUM(E17:E25)</f>
        <v>77300</v>
      </c>
      <c r="G26" s="20" t="s">
        <v>39</v>
      </c>
      <c r="H26" s="21"/>
      <c r="I26" s="22">
        <f>SUM(I17:I25)</f>
        <v>589</v>
      </c>
      <c r="J26" s="23">
        <f>SUM(J17:J25)</f>
        <v>499</v>
      </c>
      <c r="L26" s="25" t="s">
        <v>39</v>
      </c>
      <c r="M26" s="25"/>
      <c r="N26" s="27">
        <f>SUM(N17:N25)</f>
        <v>37100</v>
      </c>
      <c r="O26" s="27">
        <f>SUM(O17:O25)</f>
        <v>52750</v>
      </c>
      <c r="Q26" s="29" t="s">
        <v>39</v>
      </c>
      <c r="R26" s="29"/>
      <c r="S26" s="31">
        <f>SUM(S17:S25)</f>
        <v>14500</v>
      </c>
      <c r="T26" s="31">
        <f>SUM(T17:T25)</f>
        <v>17800</v>
      </c>
      <c r="V26" s="33" t="s">
        <v>39</v>
      </c>
      <c r="W26" s="33"/>
      <c r="X26" s="38">
        <f>SUM(X17:X25)</f>
        <v>25000</v>
      </c>
      <c r="Y26" s="38">
        <f>SUM(Y17:Y25)</f>
        <v>5000</v>
      </c>
      <c r="AA26" s="40" t="s">
        <v>39</v>
      </c>
      <c r="AB26" s="40"/>
      <c r="AC26" s="42">
        <f>SUM(AC17:AC25)</f>
        <v>1500</v>
      </c>
      <c r="AD26" s="42">
        <f>SUM(AD17:AD25)</f>
        <v>0</v>
      </c>
    </row>
  </sheetData>
  <mergeCells count="97">
    <mergeCell ref="X11:Y11"/>
    <mergeCell ref="X10:Y10"/>
    <mergeCell ref="X12:Y12"/>
    <mergeCell ref="X13:Y13"/>
    <mergeCell ref="V5:Y5"/>
    <mergeCell ref="V6:W6"/>
    <mergeCell ref="X6:Y6"/>
    <mergeCell ref="V24:W24"/>
    <mergeCell ref="V25:W25"/>
    <mergeCell ref="V26:W26"/>
    <mergeCell ref="AA15:AD15"/>
    <mergeCell ref="AA16:AB16"/>
    <mergeCell ref="AA17:AB17"/>
    <mergeCell ref="AA18:AB18"/>
    <mergeCell ref="AA19:AB19"/>
    <mergeCell ref="AA20:AB20"/>
    <mergeCell ref="AA21:AB21"/>
    <mergeCell ref="AA22:AB22"/>
    <mergeCell ref="AA23:AB23"/>
    <mergeCell ref="AA24:AB24"/>
    <mergeCell ref="AA25:AB25"/>
    <mergeCell ref="AA26:AB26"/>
    <mergeCell ref="V19:W19"/>
    <mergeCell ref="V20:W20"/>
    <mergeCell ref="V21:W21"/>
    <mergeCell ref="V22:W22"/>
    <mergeCell ref="V23:W23"/>
    <mergeCell ref="Q6:T13"/>
    <mergeCell ref="V15:Y15"/>
    <mergeCell ref="V16:W16"/>
    <mergeCell ref="V17:W17"/>
    <mergeCell ref="V18:W18"/>
    <mergeCell ref="V11:W11"/>
    <mergeCell ref="V12:W12"/>
    <mergeCell ref="V13:W13"/>
    <mergeCell ref="V7:W7"/>
    <mergeCell ref="V8:W8"/>
    <mergeCell ref="V9:W9"/>
    <mergeCell ref="V10:W10"/>
    <mergeCell ref="X7:Y7"/>
    <mergeCell ref="X8:Y8"/>
    <mergeCell ref="X9:Y9"/>
    <mergeCell ref="B23:C23"/>
    <mergeCell ref="B24:C24"/>
    <mergeCell ref="B25:C25"/>
    <mergeCell ref="B26:C26"/>
    <mergeCell ref="G6:J13"/>
    <mergeCell ref="B18:C18"/>
    <mergeCell ref="B19:C19"/>
    <mergeCell ref="B20:C20"/>
    <mergeCell ref="B21:C21"/>
    <mergeCell ref="B22:C22"/>
    <mergeCell ref="B2:E3"/>
    <mergeCell ref="B5:E5"/>
    <mergeCell ref="B15:E15"/>
    <mergeCell ref="B16:C16"/>
    <mergeCell ref="B17:C17"/>
    <mergeCell ref="G22:H22"/>
    <mergeCell ref="G23:H23"/>
    <mergeCell ref="G24:H24"/>
    <mergeCell ref="G15:J15"/>
    <mergeCell ref="G16:H16"/>
    <mergeCell ref="G17:H17"/>
    <mergeCell ref="G18:H18"/>
    <mergeCell ref="G19:H19"/>
    <mergeCell ref="G25:H25"/>
    <mergeCell ref="G26:H26"/>
    <mergeCell ref="L15:O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G20:H20"/>
    <mergeCell ref="G21:H21"/>
    <mergeCell ref="Q25:R25"/>
    <mergeCell ref="Q26:R26"/>
    <mergeCell ref="G5:J5"/>
    <mergeCell ref="L5:O5"/>
    <mergeCell ref="Q5:T5"/>
    <mergeCell ref="L6:O13"/>
    <mergeCell ref="Q20:R20"/>
    <mergeCell ref="Q21:R21"/>
    <mergeCell ref="Q22:R22"/>
    <mergeCell ref="Q23:R23"/>
    <mergeCell ref="Q24:R24"/>
    <mergeCell ref="Q15:T15"/>
    <mergeCell ref="Q16:R16"/>
    <mergeCell ref="Q17:R17"/>
    <mergeCell ref="Q18:R18"/>
    <mergeCell ref="Q19:R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0FB7E-801D-4C2C-B5AF-40B2B4714FA6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2026-06-01T09:57:45Z</dcterms:created>
  <dcterms:modified xsi:type="dcterms:W3CDTF">2026-06-01T14:11:19Z</dcterms:modified>
  <cp:category/>
  <cp:contentStatus/>
</cp:coreProperties>
</file>