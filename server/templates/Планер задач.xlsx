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51836BF9-3D55-4557-9025-62BB2966AFE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Задачи" sheetId="1" r:id="rId1"/>
    <sheet name="График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J7" i="2"/>
  <c r="J6" i="2"/>
  <c r="J5" i="2"/>
  <c r="C4" i="2"/>
  <c r="D8" i="1"/>
  <c r="C7" i="2"/>
  <c r="C6" i="2"/>
  <c r="C5" i="2"/>
  <c r="R4" i="2"/>
  <c r="E13" i="2" a="1"/>
  <c r="E13" i="2"/>
  <c r="J13" i="2" a="1"/>
  <c r="J13" i="2"/>
  <c r="C13" i="2" a="1"/>
  <c r="C13" i="2"/>
  <c r="H13" i="2" a="1"/>
  <c r="H13" i="2"/>
  <c r="T13" i="2" a="1"/>
  <c r="T13" i="2"/>
  <c r="R13" i="2" a="1"/>
  <c r="R13" i="2"/>
  <c r="M13" i="2" a="1"/>
  <c r="M13" i="2"/>
  <c r="O13" i="2" a="1"/>
  <c r="O13" i="2"/>
  <c r="G13" i="2" a="1"/>
  <c r="G13" i="2"/>
  <c r="D4" i="1"/>
  <c r="B13" i="2" a="1"/>
  <c r="B13" i="2"/>
  <c r="L13" i="2" a="1"/>
  <c r="L13" i="2"/>
  <c r="Q13" i="2" a="1"/>
  <c r="Q13" i="2"/>
  <c r="R5" i="2"/>
  <c r="R4" i="1"/>
  <c r="J4" i="2"/>
  <c r="D5" i="1"/>
  <c r="S13" i="2" s="1" a="1"/>
  <c r="S13" i="2" s="1"/>
  <c r="D6" i="1"/>
  <c r="D13" i="2" s="1" a="1"/>
  <c r="D13" i="2" s="1"/>
  <c r="D7" i="1"/>
  <c r="N13" i="2" s="1" a="1"/>
  <c r="N13" i="2" s="1"/>
  <c r="D10" i="1"/>
  <c r="D11" i="1"/>
  <c r="D12" i="1"/>
  <c r="D13" i="1"/>
  <c r="D14" i="1"/>
  <c r="D16" i="1"/>
  <c r="D17" i="1"/>
  <c r="D18" i="1"/>
  <c r="D19" i="1"/>
  <c r="D20" i="1"/>
  <c r="D21" i="1"/>
  <c r="R7" i="2" l="1"/>
  <c r="R6" i="2"/>
  <c r="I13" i="2" a="1"/>
  <c r="I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<sst xmlns="http://schemas.openxmlformats.org/spreadsheetml/2006/main" count="60" uniqueCount="34">
  <si>
    <t>МОИ ЗАДАЧИ</t>
  </si>
  <si>
    <t>Задача</t>
  </si>
  <si>
    <t>Срок</t>
  </si>
  <si>
    <t>Дни ⏳</t>
  </si>
  <si>
    <t>Приоритет</t>
  </si>
  <si>
    <t>✅</t>
  </si>
  <si>
    <t>Категория</t>
  </si>
  <si>
    <t>Выучить шаблон на арабском</t>
  </si>
  <si>
    <t>Высокий</t>
  </si>
  <si>
    <t>Личное</t>
  </si>
  <si>
    <t>Сделать что-нибудь</t>
  </si>
  <si>
    <t>Низкий</t>
  </si>
  <si>
    <t>Работа</t>
  </si>
  <si>
    <t>Лечь спать</t>
  </si>
  <si>
    <t>Срочно</t>
  </si>
  <si>
    <t>Пойти поесть</t>
  </si>
  <si>
    <t>Средний</t>
  </si>
  <si>
    <t>По приколу</t>
  </si>
  <si>
    <t>Другое</t>
  </si>
  <si>
    <t>Вынести мусор</t>
  </si>
  <si>
    <t>СРОЧНЫЕ</t>
  </si>
  <si>
    <t>ВСЕГО ЗАДАЧ</t>
  </si>
  <si>
    <t>ЗАДАЧ ВЫПОЛНЕНО</t>
  </si>
  <si>
    <t>ВЫСОКИЙ ПРИОРИТЕТ</t>
  </si>
  <si>
    <t>ЛИЧНЫЕ</t>
  </si>
  <si>
    <t>ПРОГРЕСС</t>
  </si>
  <si>
    <t>СРЕДНИЙ ПРИОРИТЕТ</t>
  </si>
  <si>
    <t>РАБОТА</t>
  </si>
  <si>
    <t>ДЕДЛАЙН СЕГОДНЯ</t>
  </si>
  <si>
    <t>НИЗКИЙ ПРИОРИТЕТ</t>
  </si>
  <si>
    <t>ДРУГИЕ</t>
  </si>
  <si>
    <t>ПРОСРОЧЕННЫЕ ЗАДАЧИ</t>
  </si>
  <si>
    <t>Выделение задач</t>
  </si>
  <si>
    <t>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</si>
</sst>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9]d\ mmm;@"/>
  </numFmts>
  <fonts count="14">
    <font>
      <sz val="11"/>
      <color theme="1"/>
      <name val="Aptos Narrow"/>
      <family val="2"/>
      <scheme val="minor"/>
    </font>
    <font>
      <sz val="11"/>
      <color theme="1"/>
      <name val="Aptos ExtraBold"/>
    </font>
    <font>
      <sz val="12"/>
      <color theme="1"/>
      <name val="Aptos ExtraBold"/>
    </font>
    <font>
      <sz val="24"/>
      <color theme="1"/>
      <name val="Aptos ExtraBold"/>
    </font>
    <font>
      <b/>
      <sz val="11"/>
      <color theme="1"/>
      <name val="Aptos"/>
    </font>
    <font>
      <sz val="11"/>
      <color theme="1"/>
      <name val="Aptos"/>
    </font>
    <font>
      <sz val="11"/>
      <color rgb="FF56D08A"/>
      <name val="Aptos"/>
    </font>
    <font>
      <b/>
      <sz val="12"/>
      <color theme="1"/>
      <name val="Aptos"/>
    </font>
    <font>
      <sz val="12"/>
      <color theme="1"/>
      <name val="Aptos Narrow"/>
      <family val="2"/>
      <scheme val="minor"/>
    </font>
    <font>
      <b/>
      <sz val="14"/>
      <color theme="1"/>
      <name val="Aptos ExtraBold"/>
    </font>
    <font>
      <b/>
      <sz val="12"/>
      <color theme="1"/>
      <name val="Aptos ExtraBold"/>
    </font>
    <font>
      <b/>
      <sz val="18"/>
      <color theme="1"/>
      <name val="Aptos ExtraBold"/>
    </font>
    <font>
      <b/>
      <sz val="10"/>
      <color theme="1"/>
      <name val="Aptos ExtraBold"/>
    </font>
    <font>
      <b/>
      <sz val="10"/>
      <color theme="1"/>
      <name val="Aptos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C2C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DCDC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FF0E8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DCCAE8"/>
        <bgColor indexed="64"/>
      </patternFill>
    </fill>
    <fill>
      <patternFill patternType="solid">
        <fgColor rgb="FFF5E6FF"/>
        <bgColor indexed="64"/>
      </patternFill>
    </fill>
    <fill>
      <patternFill patternType="solid">
        <fgColor rgb="FFC3CEEB"/>
        <bgColor indexed="64"/>
      </patternFill>
    </fill>
  </fills>
  <borders count="1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DADAD"/>
      </left>
      <right style="thin">
        <color rgb="FFADADAD"/>
      </right>
      <top/>
      <bottom style="thin">
        <color rgb="FFADADAD"/>
      </bottom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/>
      <right/>
      <top/>
      <bottom style="thin">
        <color rgb="FFADADAD"/>
      </bottom>
      <diagonal/>
    </border>
    <border>
      <left/>
      <right/>
      <top style="thin">
        <color rgb="FFADADAD"/>
      </top>
      <bottom style="thin">
        <color rgb="FFADADAD"/>
      </bottom>
      <diagonal/>
    </border>
    <border>
      <left/>
      <right/>
      <top style="thin">
        <color rgb="FFADADAD"/>
      </top>
      <bottom/>
      <diagonal/>
    </border>
    <border>
      <left/>
      <right style="thin">
        <color rgb="FFADADAD"/>
      </right>
      <top/>
      <bottom style="thin">
        <color rgb="FFADADAD"/>
      </bottom>
      <diagonal/>
    </border>
    <border>
      <left/>
      <right style="thin">
        <color rgb="FFADADAD"/>
      </right>
      <top style="thin">
        <color rgb="FFADADAD"/>
      </top>
      <bottom style="thin">
        <color rgb="FFADADAD"/>
      </bottom>
      <diagonal/>
    </border>
    <border>
      <left/>
      <right style="thin">
        <color rgb="FFADADAD"/>
      </right>
      <top style="thin">
        <color rgb="FFADADAD"/>
      </top>
      <bottom/>
      <diagonal/>
    </border>
    <border>
      <left/>
      <right style="thin">
        <color rgb="FFADADAD"/>
      </right>
      <top/>
      <bottom/>
      <diagonal/>
    </border>
    <border>
      <left style="thin">
        <color theme="2" tint="-0.249977111117893"/>
      </left>
      <right style="thin">
        <color rgb="FFADADAD"/>
      </right>
      <top/>
      <bottom/>
      <diagonal/>
    </border>
    <border>
      <left style="thin">
        <color theme="2" tint="-0.249977111117893"/>
      </left>
      <right style="thin">
        <color rgb="FFADADAD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DADAD"/>
      </left>
      <right/>
      <top style="thin">
        <color rgb="FFADADAD"/>
      </top>
      <bottom style="thin">
        <color rgb="FFADADAD"/>
      </bottom>
      <diagonal/>
    </border>
    <border>
      <left style="thin">
        <color rgb="FFADADAD"/>
      </left>
      <right/>
      <top/>
      <bottom style="thin">
        <color rgb="FFADADAD"/>
      </bottom>
      <diagonal/>
    </border>
    <border>
      <left style="thin">
        <color rgb="FFADADAD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4" xfId="0" applyFont="1" applyBorder="1"/>
    <xf numFmtId="0" fontId="5" fillId="0" borderId="6" xfId="0" applyFont="1" applyBorder="1"/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8" fillId="0" borderId="0" xfId="0" applyFont="1"/>
    <xf numFmtId="0" fontId="10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4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inden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16">
    <dxf>
      <font>
        <color theme="1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theme="2"/>
        </patternFill>
      </fill>
    </dxf>
    <dxf>
      <fill>
        <patternFill patternType="solid">
          <bgColor rgb="FFF0C2C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rgb="FFFFC7CE"/>
        </patternFill>
      </fill>
    </dxf>
    <dxf>
      <font>
        <strike/>
        <color theme="2" tint="-0.499984740745262"/>
      </font>
      <fill>
        <patternFill patternType="solid">
          <bgColor theme="0"/>
        </patternFill>
      </fill>
    </dxf>
  </dxfs>
  <tableStyles count="0" defaultTableStyle="TableStyleMedium2" defaultPivotStyle="PivotStyleMedium9"/>
  <colors>
    <mruColors>
      <color rgb="FFF0C2C2"/>
      <color rgb="FFC3CEEB"/>
      <color rgb="FFDAE9F8"/>
      <color rgb="FFBEDCFA"/>
      <color rgb="FFFBE2D5"/>
      <color rgb="FFDCCAE8"/>
      <color rgb="FFF5E6FF"/>
      <color rgb="FFF2CEEF"/>
      <color rgb="FFFFF0E8"/>
      <color rgb="FFEBF4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12700"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F0C2C2"/>
              </a:solidFill>
              <a:ln w="127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DE-4030-A460-729A650E92B9}"/>
              </c:ext>
            </c:extLst>
          </c:dPt>
          <c:dPt>
            <c:idx val="1"/>
            <c:bubble3D val="0"/>
            <c:spPr>
              <a:solidFill>
                <a:srgbClr val="DCCAE8"/>
              </a:solidFill>
              <a:ln w="127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DE-4030-A460-729A650E92B9}"/>
              </c:ext>
            </c:extLst>
          </c:dPt>
          <c:dPt>
            <c:idx val="2"/>
            <c:bubble3D val="0"/>
            <c:spPr>
              <a:solidFill>
                <a:srgbClr val="DAE9F8"/>
              </a:solidFill>
              <a:ln w="127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DE-4030-A460-729A650E92B9}"/>
              </c:ext>
            </c:extLst>
          </c:dPt>
          <c:dPt>
            <c:idx val="3"/>
            <c:bubble3D val="0"/>
            <c:spPr>
              <a:solidFill>
                <a:srgbClr val="FBE2D5"/>
              </a:solidFill>
              <a:ln w="127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DE-4030-A460-729A650E92B9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График!$B$4:$B$7</c:f>
              <c:strCache>
                <c:ptCount val="4"/>
                <c:pt idx="0">
                  <c:v>СРОЧНЫЕ</c:v>
                </c:pt>
                <c:pt idx="1">
                  <c:v>ВЫСОКИЙ ПРИОРИТЕТ</c:v>
                </c:pt>
                <c:pt idx="2">
                  <c:v>СРЕДНИЙ ПРИОРИТЕТ</c:v>
                </c:pt>
                <c:pt idx="3">
                  <c:v>НИЗКИЙ ПРИОРИТЕТ</c:v>
                </c:pt>
              </c:strCache>
            </c:strRef>
          </c:cat>
          <c:val>
            <c:numRef>
              <c:f>График!$C$4:$C$7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E-4030-A460-729A650E9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C3CEEB"/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CCAE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A6-4E0C-AE21-BEEF7A855373}"/>
              </c:ext>
            </c:extLst>
          </c:dPt>
          <c:dPt>
            <c:idx val="2"/>
            <c:invertIfNegative val="0"/>
            <c:bubble3D val="0"/>
            <c:spPr>
              <a:solidFill>
                <a:srgbClr val="FBE2D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A6-4E0C-AE21-BEEF7A855373}"/>
              </c:ext>
            </c:extLst>
          </c:dPt>
          <c:cat>
            <c:strRef>
              <c:f>График!$H$5:$H$7</c:f>
              <c:strCache>
                <c:ptCount val="3"/>
                <c:pt idx="0">
                  <c:v>ЛИЧНЫЕ</c:v>
                </c:pt>
                <c:pt idx="1">
                  <c:v>РАБОТА</c:v>
                </c:pt>
                <c:pt idx="2">
                  <c:v>ДРУГИЕ</c:v>
                </c:pt>
              </c:strCache>
            </c:strRef>
          </c:cat>
          <c:val>
            <c:numRef>
              <c:f>График!$J$5:$J$7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6-4E0C-AE21-BEEF7A855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1999217159"/>
        <c:axId val="1999219207"/>
      </c:barChart>
      <c:catAx>
        <c:axId val="199921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19207"/>
        <c:crosses val="autoZero"/>
        <c:auto val="1"/>
        <c:lblAlgn val="ctr"/>
        <c:lblOffset val="100"/>
        <c:noMultiLvlLbl val="0"/>
      </c:catAx>
      <c:valAx>
        <c:axId val="1999219207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1715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19050</xdr:rowOff>
    </xdr:from>
    <xdr:to>
      <xdr:col>6</xdr:col>
      <xdr:colOff>2028825</xdr:colOff>
      <xdr:row>8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E4D709-F4F7-F4A8-9ACE-CB58A657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9525</xdr:rowOff>
    </xdr:from>
    <xdr:to>
      <xdr:col>14</xdr:col>
      <xdr:colOff>904875</xdr:colOff>
      <xdr:row>8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09D85C0-EB92-45E3-2AAF-FF1F2CF90BA4}"/>
            </a:ext>
            <a:ext uri="{147F2762-F138-4A5C-976F-8EAC2B608ADB}">
              <a16:predDERef xmlns:a16="http://schemas.microsoft.com/office/drawing/2014/main" pred="{1FE4D709-F4F7-F4A8-9ACE-CB58A657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1"/>
  <sheetViews>
    <sheetView workbookViewId="0">
      <selection activeCell="C6" sqref="C6"/>
    </sheetView>
  </sheetViews>
  <sheetFormatPr defaultRowHeight="15"/>
  <cols>
    <col min="1" max="1" width="2.85546875" customWidth="1"/>
    <col min="2" max="2" width="41.85546875" customWidth="1"/>
    <col min="3" max="3" width="12.85546875" customWidth="1"/>
    <col min="4" max="4" width="14.5703125" customWidth="1"/>
    <col min="5" max="5" width="14.7109375" customWidth="1"/>
    <col min="6" max="6" width="5.7109375" customWidth="1"/>
    <col min="7" max="7" width="13.85546875" customWidth="1"/>
  </cols>
  <sheetData>
    <row r="2" spans="2:18" ht="48" customHeight="1">
      <c r="B2" s="4" t="s">
        <v>0</v>
      </c>
      <c r="C2" s="4"/>
      <c r="D2" s="4"/>
      <c r="E2" s="4"/>
      <c r="F2" s="4"/>
      <c r="G2" s="4"/>
    </row>
    <row r="3" spans="2:18" ht="17.25" customHeight="1">
      <c r="B3" s="1" t="s">
        <v>1</v>
      </c>
      <c r="C3" s="1" t="s">
        <v>2</v>
      </c>
      <c r="D3" s="1" t="s">
        <v>3</v>
      </c>
      <c r="E3" s="9" t="s">
        <v>4</v>
      </c>
      <c r="F3" s="6" t="s">
        <v>5</v>
      </c>
      <c r="G3" s="1" t="s">
        <v>6</v>
      </c>
    </row>
    <row r="4" spans="2:18" ht="17.25" customHeight="1">
      <c r="B4" s="2" t="s">
        <v>7</v>
      </c>
      <c r="C4" s="3">
        <v>46179</v>
      </c>
      <c r="D4" s="5">
        <f ca="1">IF(C4="", "", IF(C4&lt;TODAY(), "Срок истёк", C4-TODAY()))</f>
        <v>5</v>
      </c>
      <c r="E4" s="10" t="s">
        <v>8</v>
      </c>
      <c r="F4" s="7" t="b">
        <v>1</v>
      </c>
      <c r="G4" s="2" t="s">
        <v>9</v>
      </c>
      <c r="R4" t="str">
        <f>COUNTIF(Задачи!F4:F21, TRUE) &amp; "/" &amp; COUNTA(Задачи!B4:B21)</f>
        <v>2/6</v>
      </c>
    </row>
    <row r="5" spans="2:18" ht="17.25" customHeight="1">
      <c r="B5" s="2" t="s">
        <v>10</v>
      </c>
      <c r="C5" s="3">
        <v>46173</v>
      </c>
      <c r="D5" s="5" t="str">
        <f t="shared" ref="D5:D21" ca="1" si="0">IF(C5="", "", IF(C5&lt;TODAY(), "Срок истёк", C5-TODAY()))</f>
        <v>Срок истёк</v>
      </c>
      <c r="E5" s="10" t="s">
        <v>11</v>
      </c>
      <c r="F5" s="7" t="b">
        <v>0</v>
      </c>
      <c r="G5" s="2" t="s">
        <v>12</v>
      </c>
    </row>
    <row r="6" spans="2:18" ht="17.25" customHeight="1">
      <c r="B6" s="2" t="s">
        <v>13</v>
      </c>
      <c r="C6" s="3">
        <v>46174</v>
      </c>
      <c r="D6" s="5">
        <f t="shared" ca="1" si="0"/>
        <v>0</v>
      </c>
      <c r="E6" s="10" t="s">
        <v>14</v>
      </c>
      <c r="F6" s="7" t="b">
        <v>1</v>
      </c>
      <c r="G6" s="2" t="s">
        <v>9</v>
      </c>
    </row>
    <row r="7" spans="2:18" ht="17.25" customHeight="1">
      <c r="B7" s="2" t="s">
        <v>15</v>
      </c>
      <c r="C7" s="3">
        <v>46175</v>
      </c>
      <c r="D7" s="5">
        <f t="shared" ca="1" si="0"/>
        <v>1</v>
      </c>
      <c r="E7" s="10" t="s">
        <v>16</v>
      </c>
      <c r="F7" s="7" t="b">
        <v>0</v>
      </c>
      <c r="G7" s="2" t="s">
        <v>9</v>
      </c>
    </row>
    <row r="8" spans="2:18" ht="17.25" customHeight="1">
      <c r="B8" s="2" t="s">
        <v>17</v>
      </c>
      <c r="C8" s="3">
        <v>46174</v>
      </c>
      <c r="D8" s="5">
        <f ca="1">IF(C8="", "", IF(C8&lt;TODAY(), "Срок истёк", C8-TODAY()))</f>
        <v>0</v>
      </c>
      <c r="E8" s="10" t="s">
        <v>8</v>
      </c>
      <c r="F8" s="7" t="b">
        <v>0</v>
      </c>
      <c r="G8" s="2" t="s">
        <v>18</v>
      </c>
    </row>
    <row r="9" spans="2:18" ht="17.25" customHeight="1">
      <c r="B9" s="2" t="s">
        <v>19</v>
      </c>
      <c r="C9" s="3">
        <v>46175</v>
      </c>
      <c r="D9" s="5">
        <f ca="1">IF(C9="", "", IF(C9&lt;TODAY(), "Срок истёк", C9-TODAY()))</f>
        <v>1</v>
      </c>
      <c r="E9" s="10" t="s">
        <v>11</v>
      </c>
      <c r="F9" s="7" t="b">
        <v>0</v>
      </c>
      <c r="G9" s="2" t="s">
        <v>18</v>
      </c>
    </row>
    <row r="10" spans="2:18" ht="17.25" customHeight="1">
      <c r="B10" s="2"/>
      <c r="C10" s="3"/>
      <c r="D10" s="5" t="str">
        <f t="shared" ca="1" si="0"/>
        <v/>
      </c>
      <c r="E10" s="10"/>
      <c r="F10" s="7" t="b">
        <v>0</v>
      </c>
      <c r="G10" s="2"/>
    </row>
    <row r="11" spans="2:18" ht="17.25" customHeight="1">
      <c r="B11" s="2"/>
      <c r="C11" s="3"/>
      <c r="D11" s="5" t="str">
        <f t="shared" ca="1" si="0"/>
        <v/>
      </c>
      <c r="E11" s="10"/>
      <c r="F11" s="7" t="b">
        <v>0</v>
      </c>
      <c r="G11" s="2"/>
    </row>
    <row r="12" spans="2:18" ht="17.25" customHeight="1">
      <c r="B12" s="2"/>
      <c r="C12" s="3"/>
      <c r="D12" s="5" t="str">
        <f t="shared" ca="1" si="0"/>
        <v/>
      </c>
      <c r="E12" s="10"/>
      <c r="F12" s="7" t="b">
        <v>0</v>
      </c>
      <c r="G12" s="2"/>
    </row>
    <row r="13" spans="2:18">
      <c r="B13" s="2"/>
      <c r="C13" s="3"/>
      <c r="D13" s="5" t="str">
        <f t="shared" ca="1" si="0"/>
        <v/>
      </c>
      <c r="E13" s="10"/>
      <c r="F13" s="7" t="b">
        <v>0</v>
      </c>
      <c r="G13" s="2"/>
    </row>
    <row r="14" spans="2:18">
      <c r="B14" s="2"/>
      <c r="C14" s="3"/>
      <c r="D14" s="5" t="str">
        <f t="shared" ca="1" si="0"/>
        <v/>
      </c>
      <c r="E14" s="10"/>
      <c r="F14" s="7" t="b">
        <v>0</v>
      </c>
      <c r="G14" s="2"/>
    </row>
    <row r="15" spans="2:18">
      <c r="B15" s="2"/>
      <c r="C15" s="3"/>
      <c r="D15" s="5"/>
      <c r="E15" s="10"/>
      <c r="F15" s="7" t="b">
        <v>0</v>
      </c>
      <c r="G15" s="2"/>
    </row>
    <row r="16" spans="2:18">
      <c r="B16" s="2"/>
      <c r="C16" s="3"/>
      <c r="D16" s="5" t="str">
        <f t="shared" ca="1" si="0"/>
        <v/>
      </c>
      <c r="E16" s="10"/>
      <c r="F16" s="7" t="b">
        <v>0</v>
      </c>
      <c r="G16" s="2"/>
    </row>
    <row r="17" spans="2:7">
      <c r="B17" s="2"/>
      <c r="C17" s="3"/>
      <c r="D17" s="5" t="str">
        <f t="shared" ca="1" si="0"/>
        <v/>
      </c>
      <c r="E17" s="10"/>
      <c r="F17" s="7" t="b">
        <v>0</v>
      </c>
      <c r="G17" s="2"/>
    </row>
    <row r="18" spans="2:7">
      <c r="B18" s="2"/>
      <c r="C18" s="3"/>
      <c r="D18" s="5" t="str">
        <f t="shared" ca="1" si="0"/>
        <v/>
      </c>
      <c r="E18" s="10"/>
      <c r="F18" s="7" t="b">
        <v>0</v>
      </c>
      <c r="G18" s="2"/>
    </row>
    <row r="19" spans="2:7">
      <c r="B19" s="2"/>
      <c r="C19" s="3"/>
      <c r="D19" s="5" t="str">
        <f t="shared" ca="1" si="0"/>
        <v/>
      </c>
      <c r="E19" s="10"/>
      <c r="F19" s="7" t="b">
        <v>0</v>
      </c>
      <c r="G19" s="2"/>
    </row>
    <row r="20" spans="2:7">
      <c r="B20" s="2"/>
      <c r="C20" s="3"/>
      <c r="D20" s="5" t="str">
        <f t="shared" ca="1" si="0"/>
        <v/>
      </c>
      <c r="E20" s="10"/>
      <c r="F20" s="7" t="b">
        <v>0</v>
      </c>
      <c r="G20" s="2"/>
    </row>
    <row r="21" spans="2:7">
      <c r="B21" s="2"/>
      <c r="C21" s="3"/>
      <c r="D21" s="5" t="str">
        <f t="shared" ca="1" si="0"/>
        <v/>
      </c>
      <c r="E21" s="10"/>
      <c r="F21" s="7" t="b">
        <v>0</v>
      </c>
      <c r="G21" s="2"/>
    </row>
  </sheetData>
  <mergeCells count="1">
    <mergeCell ref="B2:G2"/>
  </mergeCells>
  <conditionalFormatting sqref="G4:G21 B4:E21">
    <cfRule type="expression" dxfId="15" priority="9">
      <formula>$F4=TRUE</formula>
    </cfRule>
  </conditionalFormatting>
  <conditionalFormatting sqref="D4:D21">
    <cfRule type="containsText" dxfId="14" priority="6" operator="containsText" text="Срок истёк">
      <formula>NOT(ISERROR(SEARCH("Срок истёк",D4)))</formula>
    </cfRule>
  </conditionalFormatting>
  <conditionalFormatting sqref="E4:E21">
    <cfRule type="containsBlanks" dxfId="13" priority="1">
      <formula>LEN(TRIM(E4))=0</formula>
    </cfRule>
    <cfRule type="containsText" dxfId="12" priority="2" operator="containsText" text="Низкий">
      <formula>NOT(ISERROR(SEARCH("Низкий",E4)))</formula>
    </cfRule>
    <cfRule type="containsText" dxfId="11" priority="3" operator="containsText" text="Средний">
      <formula>NOT(ISERROR(SEARCH("Средний",E4)))</formula>
    </cfRule>
    <cfRule type="containsText" dxfId="10" priority="4" operator="containsText" text="Высокий">
      <formula>NOT(ISERROR(SEARCH("Высокий",E4)))</formula>
    </cfRule>
    <cfRule type="containsText" dxfId="9" priority="5" operator="containsText" text="Срочно">
      <formula>NOT(ISERROR(SEARCH("Срочно",E4)))</formula>
    </cfRule>
  </conditionalFormatting>
  <dataValidations count="2">
    <dataValidation type="list" allowBlank="1" showInputMessage="1" showErrorMessage="1" sqref="E4:E21" xr:uid="{C0B12C29-2884-490A-9FE9-24BB7FDBC0CD}">
      <formula1>"Срочно,Высокий,Средний,Низкий"</formula1>
    </dataValidation>
    <dataValidation type="list" allowBlank="1" showInputMessage="1" showErrorMessage="1" sqref="G4:G21" xr:uid="{6B465B16-3A03-43E1-B37C-292FAD2B5BD7}">
      <formula1>"Личное,Работа,Другое"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5571-938A-4BA7-BCF8-04D7B7EF8844}">
  <dimension ref="B2:T30"/>
  <sheetViews>
    <sheetView showGridLines="0" tabSelected="1" workbookViewId="0">
      <selection activeCell="Q23" sqref="Q23"/>
    </sheetView>
  </sheetViews>
  <sheetFormatPr defaultRowHeight="15"/>
  <cols>
    <col min="1" max="1" width="3" customWidth="1"/>
    <col min="2" max="2" width="30.7109375" customWidth="1"/>
    <col min="3" max="3" width="10.7109375" customWidth="1"/>
    <col min="4" max="4" width="12.7109375" customWidth="1"/>
    <col min="5" max="5" width="13.7109375" customWidth="1"/>
    <col min="6" max="6" width="2.140625" customWidth="1"/>
    <col min="7" max="7" width="30.7109375" customWidth="1"/>
    <col min="8" max="8" width="10.7109375" customWidth="1"/>
    <col min="9" max="9" width="12.7109375" customWidth="1"/>
    <col min="10" max="10" width="13.7109375" customWidth="1"/>
    <col min="11" max="11" width="2.28515625" customWidth="1"/>
    <col min="12" max="12" width="30.7109375" customWidth="1"/>
    <col min="13" max="13" width="10.7109375" customWidth="1"/>
    <col min="14" max="14" width="12.7109375" customWidth="1"/>
    <col min="15" max="15" width="13.7109375" customWidth="1"/>
    <col min="16" max="16" width="2.28515625" customWidth="1"/>
    <col min="17" max="17" width="30.7109375" customWidth="1"/>
    <col min="18" max="18" width="10.7109375" customWidth="1"/>
    <col min="19" max="19" width="12.7109375" customWidth="1"/>
    <col min="20" max="20" width="13.7109375" customWidth="1"/>
  </cols>
  <sheetData>
    <row r="2" spans="2:20" ht="39.75" customHeight="1">
      <c r="B2" s="18" t="s">
        <v>0</v>
      </c>
      <c r="C2" s="18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48"/>
      <c r="R2" s="48"/>
      <c r="S2" s="48"/>
      <c r="T2" s="49"/>
    </row>
    <row r="3" spans="2:20" ht="8.25" customHeight="1">
      <c r="B3" s="11"/>
      <c r="C3" s="30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50"/>
      <c r="R3" s="50"/>
      <c r="S3" s="50"/>
      <c r="T3" s="51"/>
    </row>
    <row r="4" spans="2:20" s="19" customFormat="1" ht="24" customHeight="1">
      <c r="B4" s="20" t="s">
        <v>20</v>
      </c>
      <c r="C4" s="31">
        <f>COUNTIF(Задачи!E4:E21, "Срочно")</f>
        <v>1</v>
      </c>
      <c r="D4" s="34"/>
      <c r="E4" s="35"/>
      <c r="F4" s="35"/>
      <c r="G4" s="35"/>
      <c r="H4" s="44" t="s">
        <v>21</v>
      </c>
      <c r="I4" s="44"/>
      <c r="J4" s="29">
        <f>SUM(J5:J7)</f>
        <v>6</v>
      </c>
      <c r="K4" s="35"/>
      <c r="L4" s="35"/>
      <c r="M4" s="35"/>
      <c r="N4" s="35"/>
      <c r="O4" s="35"/>
      <c r="P4" s="35"/>
      <c r="Q4" s="52" t="s">
        <v>22</v>
      </c>
      <c r="R4" s="61" t="str">
        <f>COUNTIF(Задачи!F4:F21, TRUE) &amp; "/" &amp; COUNTA(Задачи!B4:B21)</f>
        <v>2/6</v>
      </c>
      <c r="S4" s="62"/>
      <c r="T4" s="56"/>
    </row>
    <row r="5" spans="2:20" s="19" customFormat="1" ht="24" customHeight="1">
      <c r="B5" s="43" t="s">
        <v>23</v>
      </c>
      <c r="C5" s="31">
        <f>COUNTIF(Задачи!E4:E21, "Высокий")</f>
        <v>2</v>
      </c>
      <c r="D5" s="34"/>
      <c r="E5" s="35"/>
      <c r="F5" s="35"/>
      <c r="G5" s="35"/>
      <c r="H5" s="45" t="s">
        <v>24</v>
      </c>
      <c r="I5" s="45"/>
      <c r="J5" s="29">
        <f>COUNTIF(Задачи!G4:G21, "Личное")</f>
        <v>3</v>
      </c>
      <c r="K5" s="35"/>
      <c r="L5" s="35"/>
      <c r="M5" s="35"/>
      <c r="N5" s="35"/>
      <c r="O5" s="35"/>
      <c r="P5" s="35"/>
      <c r="Q5" s="53" t="s">
        <v>25</v>
      </c>
      <c r="R5" s="65">
        <f>COUNTIF(Задачи!F4:F21, TRUE) / COUNTA(Задачи!B4:B21)</f>
        <v>0.33333333333333331</v>
      </c>
      <c r="S5" s="66"/>
      <c r="T5" s="56"/>
    </row>
    <row r="6" spans="2:20" s="19" customFormat="1" ht="24" customHeight="1">
      <c r="B6" s="21" t="s">
        <v>26</v>
      </c>
      <c r="C6" s="31">
        <f>COUNTIF(Задачи!E4:E21, "Средний")</f>
        <v>1</v>
      </c>
      <c r="D6" s="34"/>
      <c r="E6" s="35"/>
      <c r="F6" s="35"/>
      <c r="G6" s="35"/>
      <c r="H6" s="46" t="s">
        <v>27</v>
      </c>
      <c r="I6" s="46"/>
      <c r="J6" s="29">
        <f>COUNTIF(Задачи!G4:G21, "Работа")</f>
        <v>1</v>
      </c>
      <c r="K6" s="35"/>
      <c r="L6" s="35"/>
      <c r="M6" s="35"/>
      <c r="N6" s="35"/>
      <c r="O6" s="35"/>
      <c r="P6" s="35"/>
      <c r="Q6" s="54" t="s">
        <v>28</v>
      </c>
      <c r="R6" s="63">
        <f ca="1">COUNTIF(Задачи!D4:D21, "0")</f>
        <v>2</v>
      </c>
      <c r="S6" s="64"/>
      <c r="T6" s="56"/>
    </row>
    <row r="7" spans="2:20" s="19" customFormat="1" ht="24" customHeight="1">
      <c r="B7" s="22" t="s">
        <v>29</v>
      </c>
      <c r="C7" s="31">
        <f>COUNTIF(Задачи!E4:E21, "Низкий")</f>
        <v>2</v>
      </c>
      <c r="D7" s="34"/>
      <c r="E7" s="35"/>
      <c r="F7" s="35"/>
      <c r="G7" s="35"/>
      <c r="H7" s="47" t="s">
        <v>30</v>
      </c>
      <c r="I7" s="47"/>
      <c r="J7" s="29">
        <f>COUNTIF(Задачи!G4:G21, "Другое")</f>
        <v>2</v>
      </c>
      <c r="K7" s="35"/>
      <c r="L7" s="35"/>
      <c r="M7" s="35"/>
      <c r="N7" s="35"/>
      <c r="O7" s="35"/>
      <c r="P7" s="35"/>
      <c r="Q7" s="55" t="s">
        <v>31</v>
      </c>
      <c r="R7" s="38">
        <f ca="1">COUNTIF(Задачи!D4:D21, "Срок истёк")</f>
        <v>1</v>
      </c>
      <c r="S7" s="39"/>
      <c r="T7" s="56"/>
    </row>
    <row r="8" spans="2:20" ht="9.75" customHeight="1">
      <c r="B8" s="12"/>
      <c r="C8" s="13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57"/>
      <c r="R8" s="57"/>
      <c r="S8" s="57"/>
      <c r="T8" s="58"/>
    </row>
    <row r="9" spans="2:20" ht="14.25" customHeight="1">
      <c r="B9" s="23" t="s">
        <v>32</v>
      </c>
      <c r="C9" s="32" t="s">
        <v>18</v>
      </c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59"/>
      <c r="R9" s="59"/>
      <c r="S9" s="59"/>
      <c r="T9" s="60"/>
    </row>
    <row r="11" spans="2:20" ht="26.25" customHeight="1">
      <c r="B11" s="16" t="s">
        <v>20</v>
      </c>
      <c r="C11" s="16"/>
      <c r="D11" s="16"/>
      <c r="E11" s="16"/>
      <c r="G11" s="40" t="s">
        <v>23</v>
      </c>
      <c r="H11" s="40"/>
      <c r="I11" s="40"/>
      <c r="J11" s="40"/>
      <c r="L11" s="17" t="s">
        <v>26</v>
      </c>
      <c r="M11" s="17"/>
      <c r="N11" s="17"/>
      <c r="O11" s="17"/>
      <c r="Q11" s="26" t="s">
        <v>29</v>
      </c>
      <c r="R11" s="26"/>
      <c r="S11" s="26"/>
      <c r="T11" s="26"/>
    </row>
    <row r="12" spans="2:20" ht="18" customHeight="1">
      <c r="B12" s="15" t="s">
        <v>1</v>
      </c>
      <c r="C12" s="15" t="s">
        <v>2</v>
      </c>
      <c r="D12" s="14" t="s">
        <v>3</v>
      </c>
      <c r="E12" s="15" t="s">
        <v>33</v>
      </c>
      <c r="G12" s="41" t="s">
        <v>1</v>
      </c>
      <c r="H12" s="41" t="s">
        <v>2</v>
      </c>
      <c r="I12" s="42" t="s">
        <v>3</v>
      </c>
      <c r="J12" s="41" t="s">
        <v>33</v>
      </c>
      <c r="L12" s="24" t="s">
        <v>1</v>
      </c>
      <c r="M12" s="24" t="s">
        <v>2</v>
      </c>
      <c r="N12" s="25" t="s">
        <v>3</v>
      </c>
      <c r="O12" s="24" t="s">
        <v>33</v>
      </c>
      <c r="Q12" s="27" t="s">
        <v>1</v>
      </c>
      <c r="R12" s="27" t="s">
        <v>2</v>
      </c>
      <c r="S12" s="28" t="s">
        <v>3</v>
      </c>
      <c r="T12" s="27" t="s">
        <v>33</v>
      </c>
    </row>
    <row r="13" spans="2:20" ht="18" customHeight="1">
      <c r="B13" s="67" t="str" cm="1">
        <f t="array" ref="B13">_xlfn._xlws.FILTER(Задачи!$B$4:$B$21, Задачи!$E$4:$E$21="Срочно", "")</f>
        <v>Лечь спать</v>
      </c>
      <c r="C13" s="69" cm="1">
        <f t="array" ref="C13">_xlfn._xlws.FILTER(Задачи!$C$4:$C$21, Задачи!$E$4:$E$21="Срочно", "")</f>
        <v>46174</v>
      </c>
      <c r="D13" s="8" cm="1">
        <f t="array" aca="1" ref="D13" ca="1">_xlfn._xlws.FILTER(Задачи!$D$4:$D$21, Задачи!$E$4:$E$21="Срочно", "")</f>
        <v>0</v>
      </c>
      <c r="E13" s="8" t="str" cm="1">
        <f t="array" ref="E13">_xlfn._xlws.FILTER(Задачи!$G$4:$G$21, Задачи!$E$4:$E$21="Срочно", "")</f>
        <v>Личное</v>
      </c>
      <c r="G13" s="67" t="str" cm="1">
        <f t="array" ref="G13:G14">_xlfn._xlws.FILTER(Задачи!$B$4:$B$21, Задачи!$E$4:$E$21="Высокий", "")</f>
        <v>Выучить шаблон на арабском</v>
      </c>
      <c r="H13" s="69" cm="1">
        <f t="array" ref="H13:H14">_xlfn._xlws.FILTER(Задачи!$C$4:$C$21, Задачи!$E$4:$E$21="Высокий", "")</f>
        <v>46179</v>
      </c>
      <c r="I13" s="70" cm="1">
        <f t="array" aca="1" ref="I13:I14" ca="1">_xlfn._xlws.FILTER(Задачи!$D$4:$D$21, Задачи!$E$4:$E$21="Высокий", "")</f>
        <v>5</v>
      </c>
      <c r="J13" s="8" t="str" cm="1">
        <f t="array" ref="J13:J14">_xlfn._xlws.FILTER(Задачи!$G$4:$G$21, Задачи!$E$4:$E$21="Высокий", "")</f>
        <v>Личное</v>
      </c>
      <c r="L13" s="8" t="str" cm="1">
        <f t="array" ref="L13">_xlfn._xlws.FILTER(Задачи!$B$4:$B$21, Задачи!$E$4:$E$21="Средний", "")</f>
        <v>Пойти поесть</v>
      </c>
      <c r="M13" s="69" cm="1">
        <f t="array" ref="M13">_xlfn._xlws.FILTER(Задачи!$C$4:$C$21, Задачи!$E$4:$E$21="Средний", "")</f>
        <v>46175</v>
      </c>
      <c r="N13" s="8" cm="1">
        <f t="array" aca="1" ref="N13" ca="1">_xlfn._xlws.FILTER(Задачи!$D$4:$D$21, Задачи!$E$4:$E$21="Средний", "")</f>
        <v>1</v>
      </c>
      <c r="O13" s="8" t="str" cm="1">
        <f t="array" ref="O13">_xlfn._xlws.FILTER(Задачи!$G$4:$G$21, Задачи!$E$4:$E$21="Средний", "")</f>
        <v>Личное</v>
      </c>
      <c r="Q13" s="8" t="str" cm="1">
        <f t="array" ref="Q13:Q14">_xlfn._xlws.FILTER(Задачи!$B$4:$B$21, Задачи!$E$4:$E$21="Низкий", "")</f>
        <v>Сделать что-нибудь</v>
      </c>
      <c r="R13" s="69" cm="1">
        <f t="array" ref="R13:R14">_xlfn._xlws.FILTER(Задачи!$C$4:$C$21, Задачи!$E$4:$E$21="Низкий", "")</f>
        <v>46173</v>
      </c>
      <c r="S13" s="8" t="str" cm="1">
        <f t="array" aca="1" ref="S13:S14" ca="1">_xlfn._xlws.FILTER(Задачи!$D$4:$D$21, Задачи!$E$4:$E$21="Низкий", "")</f>
        <v>Срок истёк</v>
      </c>
      <c r="T13" s="8" t="str" cm="1">
        <f t="array" ref="T13:T14">_xlfn._xlws.FILTER(Задачи!$G$4:$G$21, Задачи!$E$4:$E$21="Низкий", "")</f>
        <v>Работа</v>
      </c>
    </row>
    <row r="14" spans="2:20" ht="18" customHeight="1">
      <c r="B14" s="68"/>
      <c r="C14" s="69"/>
      <c r="D14" s="8"/>
      <c r="E14" s="8"/>
      <c r="G14" s="8" t="str">
        <v>По приколу</v>
      </c>
      <c r="H14" s="69">
        <v>46174</v>
      </c>
      <c r="I14" s="8">
        <f ca="1"/>
        <v>0</v>
      </c>
      <c r="J14" s="8" t="str">
        <v>Другое</v>
      </c>
      <c r="L14" s="8"/>
      <c r="M14" s="69"/>
      <c r="N14" s="8"/>
      <c r="O14" s="8"/>
      <c r="Q14" s="8" t="str">
        <v>Вынести мусор</v>
      </c>
      <c r="R14" s="69">
        <v>46175</v>
      </c>
      <c r="S14" s="8">
        <f ca="1"/>
        <v>1</v>
      </c>
      <c r="T14" s="8" t="str">
        <v>Другое</v>
      </c>
    </row>
    <row r="15" spans="2:20" ht="18" customHeight="1">
      <c r="B15" s="68"/>
      <c r="C15" s="69"/>
      <c r="D15" s="8"/>
      <c r="E15" s="8"/>
      <c r="G15" s="8"/>
      <c r="H15" s="69"/>
      <c r="I15" s="8"/>
      <c r="J15" s="8"/>
      <c r="L15" s="8"/>
      <c r="M15" s="69"/>
      <c r="N15" s="8"/>
      <c r="O15" s="8"/>
      <c r="Q15" s="8"/>
      <c r="R15" s="69"/>
      <c r="S15" s="8"/>
      <c r="T15" s="8"/>
    </row>
    <row r="16" spans="2:20" ht="18" customHeight="1">
      <c r="B16" s="68"/>
      <c r="C16" s="69"/>
      <c r="D16" s="8"/>
      <c r="E16" s="8"/>
      <c r="G16" s="8"/>
      <c r="H16" s="69"/>
      <c r="I16" s="8"/>
      <c r="J16" s="8"/>
      <c r="L16" s="8"/>
      <c r="M16" s="69"/>
      <c r="N16" s="8"/>
      <c r="O16" s="8"/>
      <c r="Q16" s="8"/>
      <c r="R16" s="69"/>
      <c r="S16" s="8"/>
      <c r="T16" s="8"/>
    </row>
    <row r="17" spans="2:20" ht="18" customHeight="1">
      <c r="B17" s="68"/>
      <c r="C17" s="69"/>
      <c r="D17" s="8"/>
      <c r="E17" s="8"/>
      <c r="G17" s="8"/>
      <c r="H17" s="69"/>
      <c r="I17" s="8"/>
      <c r="J17" s="8"/>
      <c r="L17" s="8"/>
      <c r="M17" s="69"/>
      <c r="N17" s="8"/>
      <c r="O17" s="8"/>
      <c r="Q17" s="8"/>
      <c r="R17" s="69"/>
      <c r="S17" s="8"/>
      <c r="T17" s="8"/>
    </row>
    <row r="18" spans="2:20" ht="18" customHeight="1">
      <c r="B18" s="68"/>
      <c r="C18" s="69"/>
      <c r="D18" s="8"/>
      <c r="E18" s="8"/>
      <c r="G18" s="8"/>
      <c r="H18" s="69"/>
      <c r="I18" s="8"/>
      <c r="J18" s="8"/>
      <c r="L18" s="8"/>
      <c r="M18" s="69"/>
      <c r="N18" s="8"/>
      <c r="O18" s="8"/>
      <c r="Q18" s="8"/>
      <c r="R18" s="69"/>
      <c r="S18" s="8"/>
      <c r="T18" s="8"/>
    </row>
    <row r="19" spans="2:20" ht="18" customHeight="1">
      <c r="B19" s="68"/>
      <c r="C19" s="69"/>
      <c r="D19" s="8"/>
      <c r="E19" s="8"/>
      <c r="G19" s="8"/>
      <c r="H19" s="69"/>
      <c r="I19" s="8"/>
      <c r="J19" s="8"/>
      <c r="L19" s="8"/>
      <c r="M19" s="69"/>
      <c r="N19" s="8"/>
      <c r="O19" s="8"/>
      <c r="Q19" s="8"/>
      <c r="R19" s="69"/>
      <c r="S19" s="8"/>
      <c r="T19" s="8"/>
    </row>
    <row r="20" spans="2:20" ht="18" customHeight="1">
      <c r="B20" s="68"/>
      <c r="C20" s="69"/>
      <c r="D20" s="8"/>
      <c r="E20" s="8"/>
      <c r="G20" s="8"/>
      <c r="H20" s="69"/>
      <c r="I20" s="8"/>
      <c r="J20" s="8"/>
      <c r="L20" s="8"/>
      <c r="M20" s="69"/>
      <c r="N20" s="8"/>
      <c r="O20" s="8"/>
      <c r="Q20" s="8"/>
      <c r="R20" s="69"/>
      <c r="S20" s="8"/>
      <c r="T20" s="8"/>
    </row>
    <row r="21" spans="2:20" ht="18" customHeight="1">
      <c r="B21" s="68"/>
      <c r="C21" s="69"/>
      <c r="D21" s="8"/>
      <c r="E21" s="8"/>
      <c r="G21" s="8"/>
      <c r="H21" s="69"/>
      <c r="I21" s="8"/>
      <c r="J21" s="8"/>
      <c r="L21" s="8"/>
      <c r="M21" s="69"/>
      <c r="N21" s="8"/>
      <c r="O21" s="8"/>
      <c r="Q21" s="8"/>
      <c r="R21" s="69"/>
      <c r="S21" s="8"/>
      <c r="T21" s="8"/>
    </row>
    <row r="22" spans="2:20" ht="18" customHeight="1">
      <c r="B22" s="68"/>
      <c r="C22" s="69"/>
      <c r="D22" s="8"/>
      <c r="E22" s="8"/>
      <c r="G22" s="8"/>
      <c r="H22" s="69"/>
      <c r="I22" s="8"/>
      <c r="J22" s="8"/>
      <c r="L22" s="8"/>
      <c r="M22" s="69"/>
      <c r="N22" s="8"/>
      <c r="O22" s="8"/>
      <c r="Q22" s="8"/>
      <c r="R22" s="69"/>
      <c r="S22" s="8"/>
      <c r="T22" s="8"/>
    </row>
    <row r="23" spans="2:20" ht="18" customHeight="1">
      <c r="B23" s="68"/>
      <c r="C23" s="69"/>
      <c r="D23" s="8"/>
      <c r="E23" s="8"/>
      <c r="G23" s="8"/>
      <c r="H23" s="69"/>
      <c r="I23" s="8"/>
      <c r="J23" s="8"/>
      <c r="L23" s="8"/>
      <c r="M23" s="69"/>
      <c r="N23" s="8"/>
      <c r="O23" s="8"/>
      <c r="Q23" s="8"/>
      <c r="R23" s="69"/>
      <c r="S23" s="8"/>
      <c r="T23" s="8"/>
    </row>
    <row r="24" spans="2:20" ht="18" customHeight="1">
      <c r="B24" s="68"/>
      <c r="C24" s="69"/>
      <c r="D24" s="8"/>
      <c r="E24" s="8"/>
      <c r="G24" s="8"/>
      <c r="H24" s="69"/>
      <c r="I24" s="8"/>
      <c r="J24" s="8"/>
      <c r="L24" s="8"/>
      <c r="M24" s="69"/>
      <c r="N24" s="8"/>
      <c r="O24" s="8"/>
      <c r="Q24" s="8"/>
      <c r="R24" s="69"/>
      <c r="S24" s="8"/>
      <c r="T24" s="8"/>
    </row>
    <row r="25" spans="2:20" ht="18" customHeight="1">
      <c r="B25" s="68"/>
      <c r="C25" s="69"/>
      <c r="D25" s="8"/>
      <c r="E25" s="8"/>
      <c r="G25" s="8"/>
      <c r="H25" s="69"/>
      <c r="I25" s="8"/>
      <c r="J25" s="8"/>
      <c r="L25" s="8"/>
      <c r="M25" s="69"/>
      <c r="N25" s="8"/>
      <c r="O25" s="8"/>
      <c r="Q25" s="8"/>
      <c r="R25" s="69"/>
      <c r="S25" s="8"/>
      <c r="T25" s="8"/>
    </row>
    <row r="26" spans="2:20" ht="18" customHeight="1">
      <c r="B26" s="68"/>
      <c r="C26" s="69"/>
      <c r="D26" s="8"/>
      <c r="E26" s="8"/>
      <c r="G26" s="8"/>
      <c r="H26" s="69"/>
      <c r="I26" s="8"/>
      <c r="J26" s="8"/>
      <c r="L26" s="8"/>
      <c r="M26" s="69"/>
      <c r="N26" s="8"/>
      <c r="O26" s="8"/>
      <c r="Q26" s="8"/>
      <c r="R26" s="69"/>
      <c r="S26" s="8"/>
      <c r="T26" s="8"/>
    </row>
    <row r="27" spans="2:20" ht="18" customHeight="1">
      <c r="B27" s="68"/>
      <c r="C27" s="69"/>
      <c r="D27" s="8"/>
      <c r="E27" s="8"/>
      <c r="G27" s="8"/>
      <c r="H27" s="69"/>
      <c r="I27" s="8"/>
      <c r="J27" s="8"/>
      <c r="L27" s="8"/>
      <c r="M27" s="69"/>
      <c r="N27" s="8"/>
      <c r="O27" s="8"/>
      <c r="Q27" s="8"/>
      <c r="R27" s="69"/>
      <c r="S27" s="8"/>
      <c r="T27" s="8"/>
    </row>
    <row r="28" spans="2:20" ht="18" customHeight="1">
      <c r="B28" s="68"/>
      <c r="C28" s="69"/>
      <c r="D28" s="8"/>
      <c r="E28" s="8"/>
      <c r="G28" s="8"/>
      <c r="H28" s="69"/>
      <c r="I28" s="8"/>
      <c r="J28" s="8"/>
      <c r="L28" s="8"/>
      <c r="M28" s="69"/>
      <c r="N28" s="8"/>
      <c r="O28" s="8"/>
      <c r="Q28" s="8"/>
      <c r="R28" s="69"/>
      <c r="S28" s="8"/>
      <c r="T28" s="8"/>
    </row>
    <row r="29" spans="2:20" ht="18" customHeight="1">
      <c r="B29" s="68"/>
      <c r="C29" s="69"/>
      <c r="D29" s="8"/>
      <c r="E29" s="8"/>
      <c r="G29" s="8"/>
      <c r="H29" s="69"/>
      <c r="I29" s="8"/>
      <c r="J29" s="8"/>
      <c r="L29" s="8"/>
      <c r="M29" s="69"/>
      <c r="N29" s="8"/>
      <c r="O29" s="8"/>
      <c r="Q29" s="8"/>
      <c r="R29" s="69"/>
      <c r="S29" s="8"/>
      <c r="T29" s="8"/>
    </row>
    <row r="30" spans="2:20" ht="18" customHeight="1">
      <c r="B30" s="68"/>
      <c r="C30" s="69"/>
      <c r="D30" s="8"/>
      <c r="E30" s="8"/>
      <c r="G30" s="8"/>
      <c r="H30" s="69"/>
      <c r="I30" s="8"/>
      <c r="J30" s="8"/>
      <c r="L30" s="8"/>
      <c r="M30" s="69"/>
      <c r="N30" s="8"/>
      <c r="O30" s="8"/>
      <c r="Q30" s="8"/>
      <c r="R30" s="69"/>
      <c r="S30" s="8"/>
      <c r="T30" s="8"/>
    </row>
  </sheetData>
  <mergeCells count="23">
    <mergeCell ref="Q2:T3"/>
    <mergeCell ref="T4:T7"/>
    <mergeCell ref="Q8:T9"/>
    <mergeCell ref="R4:S4"/>
    <mergeCell ref="R5:S5"/>
    <mergeCell ref="R6:S6"/>
    <mergeCell ref="R7:S7"/>
    <mergeCell ref="D2:G9"/>
    <mergeCell ref="H2:J3"/>
    <mergeCell ref="H8:J9"/>
    <mergeCell ref="H4:I4"/>
    <mergeCell ref="H5:I5"/>
    <mergeCell ref="H6:I6"/>
    <mergeCell ref="H7:I7"/>
    <mergeCell ref="B2:C2"/>
    <mergeCell ref="B3:C3"/>
    <mergeCell ref="B11:E11"/>
    <mergeCell ref="G11:J11"/>
    <mergeCell ref="L11:O11"/>
    <mergeCell ref="Q11:T11"/>
    <mergeCell ref="K2:K9"/>
    <mergeCell ref="L2:O9"/>
    <mergeCell ref="P2:P9"/>
  </mergeCells>
  <conditionalFormatting sqref="S13">
    <cfRule type="containsText" dxfId="8" priority="11" operator="containsText" text="Срок истёк">
      <formula>NOT(ISERROR(SEARCH("Срок истёк",S13)))</formula>
    </cfRule>
  </conditionalFormatting>
  <conditionalFormatting sqref="S14:S30">
    <cfRule type="containsText" dxfId="7" priority="10" operator="containsText" text="Срок истёк">
      <formula>NOT(ISERROR(SEARCH("Срок истёк",S14)))</formula>
    </cfRule>
  </conditionalFormatting>
  <conditionalFormatting sqref="N13:N30">
    <cfRule type="containsText" dxfId="6" priority="9" operator="containsText" text="Срок истёк">
      <formula>NOT(ISERROR(SEARCH("Срок истёк",N13)))</formula>
    </cfRule>
  </conditionalFormatting>
  <conditionalFormatting sqref="I13:I30">
    <cfRule type="containsText" dxfId="5" priority="8" operator="containsText" text="Срок истёк">
      <formula>NOT(ISERROR(SEARCH("Срок истёк",I13)))</formula>
    </cfRule>
  </conditionalFormatting>
  <conditionalFormatting sqref="D13:D30">
    <cfRule type="containsText" dxfId="4" priority="6" operator="containsText" text="Срок истёк">
      <formula>NOT(ISERROR(SEARCH("Срок истёк",D13)))</formula>
    </cfRule>
  </conditionalFormatting>
  <conditionalFormatting sqref="B13:E30">
    <cfRule type="expression" dxfId="3" priority="4">
      <formula>$E13=$C$9</formula>
    </cfRule>
  </conditionalFormatting>
  <conditionalFormatting sqref="G13:J30">
    <cfRule type="expression" dxfId="2" priority="3">
      <formula>$J13=$C$9</formula>
    </cfRule>
  </conditionalFormatting>
  <conditionalFormatting sqref="L13:O30">
    <cfRule type="expression" dxfId="1" priority="2">
      <formula>$O13=$C$9</formula>
    </cfRule>
  </conditionalFormatting>
  <conditionalFormatting sqref="Q13:T30">
    <cfRule type="expression" dxfId="0" priority="1">
      <formula>$T13=$C$9</formula>
    </cfRule>
  </conditionalFormatting>
  <dataValidations count="1">
    <dataValidation type="list" allowBlank="1" showInputMessage="1" showErrorMessage="1" sqref="C9" xr:uid="{EF47E472-ED45-453F-8289-A8CAB9FE9475}">
      <formula1>"Личное,Работа,Другое"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2026-06-01T14:57:41Z</dcterms:created>
  <dcterms:modified xsi:type="dcterms:W3CDTF">2026-06-01T20:06:53Z</dcterms:modified>
  <cp:category/>
  <cp:contentStatus/>
</cp:coreProperties>
</file>